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2109D909-C6D8-E34B-4C66-09127ED2DC46}"/>
  <workbookPr showInkAnnotation="0" codeName="EsteLivro" defaultThemeVersion="124226"/>
  <mc:AlternateContent xmlns:mc="http://schemas.openxmlformats.org/markup-compatibility/2006">
    <mc:Choice Requires="x15">
      <x15ac:absPath xmlns:x15ac="http://schemas.microsoft.com/office/spreadsheetml/2010/11/ac" url="https://controlarpt-my.sharepoint.com/personal/filipesilva_pt_controlar_com/Documents/Projectos/REad_Excel/REad_Excel/bin/Debug/"/>
    </mc:Choice>
  </mc:AlternateContent>
  <xr:revisionPtr revIDLastSave="47" documentId="13_ncr:1_{AE9000DC-6D53-41A4-977C-BC683C73F4B1}" xr6:coauthVersionLast="46" xr6:coauthVersionMax="46" xr10:uidLastSave="{53C6AFAB-8EB4-4AC7-B29A-3F98683BF21F}"/>
  <bookViews>
    <workbookView xWindow="-120" yWindow="-120" windowWidth="29040" windowHeight="15840" xr2:uid="{00000000-000D-0000-FFFF-FFFF00000000}"/>
  </bookViews>
  <sheets>
    <sheet name="Lista IO" sheetId="4" r:id="rId1"/>
    <sheet name="Sheet1" sheetId="12" r:id="rId2"/>
    <sheet name="Lista IO Preh" sheetId="5" r:id="rId3"/>
    <sheet name="Resumo" sheetId="9" r:id="rId4"/>
    <sheet name="Descrição" sheetId="6" r:id="rId5"/>
    <sheet name="Lista de material" sheetId="7" r:id="rId6"/>
    <sheet name="Notas" sheetId="8" r:id="rId7"/>
  </sheets>
  <definedNames>
    <definedName name="_xlnm._FilterDatabase" localSheetId="0" hidden="1">'Lista IO'!$A$2:$T$159</definedName>
    <definedName name="Área_de_Impressão_Lista_Material" localSheetId="5">'Lista de material'!$A$1:$D$52</definedName>
    <definedName name="Área_de_Impressão_ListaIO" localSheetId="0">'Lista IO'!$A$2:$V$164</definedName>
    <definedName name="Autor">Notas!$A$226:$A$231</definedName>
    <definedName name="Barras_Sensores">Notas!$A$241:$A$311</definedName>
    <definedName name="BK_BC">Notas!$A$134:$A$137</definedName>
    <definedName name="Caixa_NOK">Notas!$A$109:$A$112</definedName>
    <definedName name="Consola_PC">Notas!$A$124:$A$132</definedName>
    <definedName name="Dispensador_Etiquetas">Notas!$A$212:$A$215</definedName>
    <definedName name="Doc_Lingua">Notas!$A$232:$A$234</definedName>
    <definedName name="Eixo_Electrico">Notas!$A$216:$A$225</definedName>
    <definedName name="Gaveta_Estrutura">Notas!$A$157:$A$174</definedName>
    <definedName name="Gaveta_Porta">Notas!$A$104:$A$107</definedName>
    <definedName name="Magnetico">Notas!$A$18:$A$35</definedName>
    <definedName name="_xlnm.Print_Area" localSheetId="0">'Lista IO'!$A$2:$V$164</definedName>
    <definedName name="QE">Notas!$A$114:$A$122</definedName>
    <definedName name="RFID">Notas!$A$205:$A$211</definedName>
    <definedName name="Scanner_EB">Notas!$A$175:$A$187</definedName>
    <definedName name="Scanner_Estrutura">Notas!$A$157:$A$174</definedName>
    <definedName name="Scanner_Gaveta">Notas!$A$139:$A$156</definedName>
    <definedName name="Scanner_Outros">Notas!$A$197:$A$204</definedName>
    <definedName name="Sensores">Notas!$A$3:$A$77</definedName>
    <definedName name="Status">Notas!$A$236:$A$238</definedName>
    <definedName name="Tabela_Sensores">Notas!$A$2:$F$102</definedName>
    <definedName name="Valves">Notas!$A$79:$A$102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4" i="4" l="1"/>
  <c r="AA59" i="4" l="1"/>
  <c r="AC52" i="4" l="1"/>
  <c r="Q131" i="5" l="1"/>
  <c r="O131" i="5"/>
  <c r="O130" i="5"/>
  <c r="O129" i="5"/>
  <c r="O128" i="5"/>
  <c r="J131" i="5"/>
  <c r="H129" i="5"/>
  <c r="G131" i="5"/>
  <c r="G130" i="5"/>
  <c r="G129" i="5"/>
  <c r="G128" i="5"/>
  <c r="M127" i="5"/>
  <c r="M125" i="5" s="1"/>
  <c r="M126" i="5"/>
  <c r="F127" i="5"/>
  <c r="F126" i="5"/>
  <c r="F125" i="5" s="1"/>
  <c r="M102" i="5"/>
  <c r="M101" i="5"/>
  <c r="F102" i="5"/>
  <c r="F101" i="5"/>
  <c r="M100" i="5" l="1"/>
  <c r="F100" i="5"/>
  <c r="G62" i="4"/>
  <c r="I105" i="4"/>
  <c r="R104" i="4"/>
  <c r="R105" i="4"/>
  <c r="G41" i="4"/>
  <c r="G42" i="4"/>
  <c r="A2" i="4"/>
  <c r="C1" i="5"/>
  <c r="E94" i="4"/>
  <c r="E95" i="4"/>
  <c r="E96" i="4"/>
  <c r="E97" i="4"/>
  <c r="E98" i="4"/>
  <c r="E99" i="4"/>
  <c r="E100" i="4"/>
  <c r="E93" i="4"/>
  <c r="E86" i="4"/>
  <c r="E87" i="4"/>
  <c r="E88" i="4"/>
  <c r="E89" i="4"/>
  <c r="E90" i="4"/>
  <c r="E91" i="4"/>
  <c r="E92" i="4"/>
  <c r="E85" i="4"/>
  <c r="E78" i="4"/>
  <c r="E79" i="4"/>
  <c r="E80" i="4"/>
  <c r="E81" i="4"/>
  <c r="E82" i="4"/>
  <c r="E83" i="4"/>
  <c r="E84" i="4"/>
  <c r="E77" i="4"/>
  <c r="G100" i="4"/>
  <c r="F100" i="4"/>
  <c r="G99" i="4"/>
  <c r="F99" i="4"/>
  <c r="G98" i="4"/>
  <c r="F98" i="4"/>
  <c r="G97" i="4"/>
  <c r="F97" i="4"/>
  <c r="G96" i="4"/>
  <c r="F96" i="4"/>
  <c r="G95" i="4"/>
  <c r="F95" i="4"/>
  <c r="G94" i="4"/>
  <c r="F94" i="4"/>
  <c r="G93" i="4"/>
  <c r="F93" i="4"/>
  <c r="G92" i="4"/>
  <c r="F92" i="4"/>
  <c r="G91" i="4"/>
  <c r="F91" i="4"/>
  <c r="G90" i="4"/>
  <c r="F90" i="4"/>
  <c r="G89" i="4"/>
  <c r="F89" i="4"/>
  <c r="G88" i="4"/>
  <c r="F88" i="4"/>
  <c r="G87" i="4"/>
  <c r="F87" i="4"/>
  <c r="G86" i="4"/>
  <c r="F86" i="4"/>
  <c r="G85" i="4"/>
  <c r="F85" i="4"/>
  <c r="E70" i="4"/>
  <c r="E71" i="4"/>
  <c r="E72" i="4"/>
  <c r="E73" i="4"/>
  <c r="E74" i="4"/>
  <c r="E75" i="4"/>
  <c r="E76" i="4"/>
  <c r="E69" i="4"/>
  <c r="E62" i="4"/>
  <c r="E63" i="4"/>
  <c r="E64" i="4"/>
  <c r="E65" i="4"/>
  <c r="E66" i="4"/>
  <c r="E67" i="4"/>
  <c r="E68" i="4"/>
  <c r="E61" i="4"/>
  <c r="E54" i="4"/>
  <c r="E55" i="4"/>
  <c r="E56" i="4"/>
  <c r="E57" i="4"/>
  <c r="E58" i="4"/>
  <c r="E59" i="4"/>
  <c r="E60" i="4"/>
  <c r="E53" i="4"/>
  <c r="E46" i="4"/>
  <c r="E47" i="4"/>
  <c r="E48" i="4"/>
  <c r="E49" i="4"/>
  <c r="E50" i="4"/>
  <c r="E51" i="4"/>
  <c r="E52" i="4"/>
  <c r="E45" i="4"/>
  <c r="E30" i="4"/>
  <c r="E31" i="4"/>
  <c r="E32" i="4"/>
  <c r="E33" i="4"/>
  <c r="E34" i="4"/>
  <c r="E35" i="4"/>
  <c r="E36" i="4"/>
  <c r="E29" i="4"/>
  <c r="E38" i="4"/>
  <c r="E39" i="4"/>
  <c r="E40" i="4"/>
  <c r="E41" i="4"/>
  <c r="E42" i="4"/>
  <c r="E43" i="4"/>
  <c r="E44" i="4"/>
  <c r="E37" i="4"/>
  <c r="E22" i="4"/>
  <c r="E23" i="4"/>
  <c r="E24" i="4"/>
  <c r="E25" i="4"/>
  <c r="E26" i="4"/>
  <c r="E27" i="4"/>
  <c r="E28" i="4"/>
  <c r="E21" i="4"/>
  <c r="G39" i="4"/>
  <c r="G40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21" i="4"/>
  <c r="R150" i="4"/>
  <c r="R149" i="4"/>
  <c r="I149" i="4"/>
  <c r="I150" i="4"/>
  <c r="D2" i="4"/>
  <c r="R148" i="4" l="1"/>
  <c r="I148" i="4"/>
  <c r="R103" i="4"/>
  <c r="I103" i="4"/>
  <c r="AC121" i="4" s="1"/>
  <c r="AC113" i="4" l="1"/>
  <c r="AC114" i="4"/>
  <c r="AC109" i="4"/>
  <c r="AC111" i="4"/>
  <c r="AC115" i="4"/>
  <c r="AC119" i="4"/>
  <c r="AC112" i="4"/>
  <c r="AC108" i="4"/>
  <c r="AC117" i="4"/>
  <c r="AC120" i="4"/>
  <c r="AC118" i="4"/>
  <c r="AC116" i="4"/>
  <c r="AC11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Rui Ferreira</author>
  </authors>
  <commentList>
    <comment ref="N53" authorId="0" shapeId="0" xr:uid="{41673BE0-3226-4B11-8F7F-C74D9A9A8614}">
      <text>
        <r>
          <rPr>
            <b/>
            <sz val="9"/>
            <color indexed="81"/>
            <rFont val="Tahoma"/>
            <family val="2"/>
          </rPr>
          <t>Rui Ferreira:</t>
        </r>
        <r>
          <rPr>
            <sz val="9"/>
            <color indexed="81"/>
            <rFont val="Tahoma"/>
            <family val="2"/>
          </rPr>
          <t xml:space="preserve">
Protegido pela Barreira do lado do LC</t>
        </r>
      </text>
    </comment>
    <comment ref="N69" authorId="0" shapeId="0" xr:uid="{83F97E68-9AC0-4166-8DF7-384C01038001}">
      <text>
        <r>
          <rPr>
            <b/>
            <sz val="9"/>
            <color indexed="81"/>
            <rFont val="Tahoma"/>
            <family val="2"/>
          </rPr>
          <t>Rui Ferreira:</t>
        </r>
        <r>
          <rPr>
            <sz val="9"/>
            <color indexed="81"/>
            <rFont val="Tahoma"/>
            <family val="2"/>
          </rPr>
          <t xml:space="preserve">
Protegido pela Barreira do lado do FC</t>
        </r>
      </text>
    </comment>
    <comment ref="B108" authorId="0" shapeId="0" xr:uid="{6E472610-3CAF-4348-BDBB-14D81F4F0197}">
      <text>
        <r>
          <rPr>
            <b/>
            <sz val="9"/>
            <color indexed="81"/>
            <rFont val="Tahoma"/>
            <family val="2"/>
          </rPr>
          <t>Rui Ferreira:</t>
        </r>
        <r>
          <rPr>
            <sz val="9"/>
            <color indexed="81"/>
            <rFont val="Tahoma"/>
            <family val="2"/>
          </rPr>
          <t xml:space="preserve">
Cabo FD LIYY 25x0.25</t>
        </r>
      </text>
    </comment>
    <comment ref="B116" authorId="0" shapeId="0" xr:uid="{F95E79C7-5CBC-42B0-9403-02DA9888B9DA}">
      <text>
        <r>
          <rPr>
            <b/>
            <sz val="9"/>
            <color indexed="81"/>
            <rFont val="Tahoma"/>
            <family val="2"/>
          </rPr>
          <t>Rui Ferreira:</t>
        </r>
        <r>
          <rPr>
            <sz val="9"/>
            <color indexed="81"/>
            <rFont val="Tahoma"/>
            <family val="2"/>
          </rPr>
          <t xml:space="preserve">
Cabo FD LIYY 25x0.25</t>
        </r>
      </text>
    </comment>
    <comment ref="B124" authorId="0" shapeId="0" xr:uid="{F86131F3-E460-4B54-8AB1-E4CD85688A06}">
      <text>
        <r>
          <rPr>
            <b/>
            <sz val="9"/>
            <color indexed="81"/>
            <rFont val="Tahoma"/>
            <family val="2"/>
          </rPr>
          <t>Rui Ferreira:</t>
        </r>
        <r>
          <rPr>
            <sz val="9"/>
            <color indexed="81"/>
            <rFont val="Tahoma"/>
            <family val="2"/>
          </rPr>
          <t xml:space="preserve">
Cabo FD LIYY 18x0.25</t>
        </r>
      </text>
    </comment>
    <comment ref="B128" authorId="0" shapeId="0" xr:uid="{6F98726A-AD3D-44B5-926C-F986DFF3477F}">
      <text>
        <r>
          <rPr>
            <b/>
            <sz val="9"/>
            <color indexed="81"/>
            <rFont val="Tahoma"/>
            <family val="2"/>
          </rPr>
          <t>Rui Ferreira:</t>
        </r>
        <r>
          <rPr>
            <sz val="9"/>
            <color indexed="81"/>
            <rFont val="Tahoma"/>
            <family val="2"/>
          </rPr>
          <t xml:space="preserve">
Cabo FD LIYY 18x0.25</t>
        </r>
      </text>
    </comment>
    <comment ref="B133" authorId="0" shapeId="0" xr:uid="{BABD525A-A3AD-4AD3-86A9-9642E893B9BA}">
      <text>
        <r>
          <rPr>
            <b/>
            <sz val="9"/>
            <color indexed="81"/>
            <rFont val="Tahoma"/>
            <family val="2"/>
          </rPr>
          <t>Rui Ferreira:</t>
        </r>
        <r>
          <rPr>
            <sz val="9"/>
            <color indexed="81"/>
            <rFont val="Tahoma"/>
            <family val="2"/>
          </rPr>
          <t xml:space="preserve">
Cabo FD LIYY 18x0.25</t>
        </r>
      </text>
    </comment>
  </commentList>
</comments>
</file>

<file path=xl/sharedStrings.xml><?xml version="1.0" encoding="utf-8"?>
<sst xmlns="http://schemas.openxmlformats.org/spreadsheetml/2006/main" count="2156" uniqueCount="1233">
  <si>
    <t>Descrição</t>
  </si>
  <si>
    <t>Projecto:</t>
  </si>
  <si>
    <t>Livres</t>
  </si>
  <si>
    <t>Total</t>
  </si>
  <si>
    <t>DI</t>
  </si>
  <si>
    <t>DO</t>
  </si>
  <si>
    <t>Carta</t>
  </si>
  <si>
    <t>Barra</t>
  </si>
  <si>
    <t>Sensor</t>
  </si>
  <si>
    <t>Botão Início/Fim de Ciclo</t>
  </si>
  <si>
    <t>Nº</t>
  </si>
  <si>
    <t>Tipo</t>
  </si>
  <si>
    <t>M</t>
  </si>
  <si>
    <t xml:space="preserve">Legenda: </t>
  </si>
  <si>
    <t>Reservas AI</t>
  </si>
  <si>
    <t>Reservas AO</t>
  </si>
  <si>
    <t>Reservas DO</t>
  </si>
  <si>
    <t>Reservas DI</t>
  </si>
  <si>
    <t>ID E.V.</t>
  </si>
  <si>
    <t>AI0</t>
  </si>
  <si>
    <t>AI1</t>
  </si>
  <si>
    <t>AI2</t>
  </si>
  <si>
    <t>AI3</t>
  </si>
  <si>
    <t>Observações:</t>
  </si>
  <si>
    <t>AO0</t>
  </si>
  <si>
    <t>AO1</t>
  </si>
  <si>
    <t>AO2</t>
  </si>
  <si>
    <t>AO3</t>
  </si>
  <si>
    <t>Ficha</t>
  </si>
  <si>
    <t>AI4</t>
  </si>
  <si>
    <t>AI5</t>
  </si>
  <si>
    <t>AI6</t>
  </si>
  <si>
    <t>AI7</t>
  </si>
  <si>
    <t>AI8</t>
  </si>
  <si>
    <t>AI9</t>
  </si>
  <si>
    <t>AI10</t>
  </si>
  <si>
    <t>AI11</t>
  </si>
  <si>
    <t>AI12</t>
  </si>
  <si>
    <t>AI13</t>
  </si>
  <si>
    <t>AO4</t>
  </si>
  <si>
    <t>AO5</t>
  </si>
  <si>
    <t>AO6</t>
  </si>
  <si>
    <t>AO7</t>
  </si>
  <si>
    <t>AO8</t>
  </si>
  <si>
    <t>AO9</t>
  </si>
  <si>
    <t>AO10</t>
  </si>
  <si>
    <t>AO11</t>
  </si>
  <si>
    <t>AO12</t>
  </si>
  <si>
    <t>AO13</t>
  </si>
  <si>
    <t>Ref. Cliente:</t>
  </si>
  <si>
    <t>Data:</t>
  </si>
  <si>
    <t>Lista de IO</t>
  </si>
  <si>
    <t>Nº DI
xml</t>
  </si>
  <si>
    <t>Nº DO
xml</t>
  </si>
  <si>
    <t>CTR</t>
  </si>
  <si>
    <t>Descrição:</t>
  </si>
  <si>
    <t xml:space="preserve"> - Barra Sensores com cabo 5m</t>
  </si>
  <si>
    <t xml:space="preserve"> - Barra Sensores com Ficha M12</t>
  </si>
  <si>
    <t>M - Magnetico; I - Indutivo; I/I - Indutivo/Mola Ingun; F - Fotoeléctrico;  L - Laser; FO - Fibra Óptica; B - Barreira; SW - Switch</t>
  </si>
  <si>
    <t>2m</t>
  </si>
  <si>
    <t>cabo /
conect</t>
  </si>
  <si>
    <t>Controlo Revisões:</t>
  </si>
  <si>
    <t>I0.0</t>
  </si>
  <si>
    <t>Q0.0</t>
  </si>
  <si>
    <t>I0.1</t>
  </si>
  <si>
    <t>I0.2</t>
  </si>
  <si>
    <t>I0.3</t>
  </si>
  <si>
    <t>I0.4</t>
  </si>
  <si>
    <t>I0.5</t>
  </si>
  <si>
    <t>I0.6</t>
  </si>
  <si>
    <t>I0.7</t>
  </si>
  <si>
    <t>Q0.1</t>
  </si>
  <si>
    <t>Q0.2</t>
  </si>
  <si>
    <t>Q0.3</t>
  </si>
  <si>
    <t>Q0.4</t>
  </si>
  <si>
    <t>Q0.5</t>
  </si>
  <si>
    <t>Q0.6</t>
  </si>
  <si>
    <t>Q0.7</t>
  </si>
  <si>
    <t>I1.0</t>
  </si>
  <si>
    <t>I1.1</t>
  </si>
  <si>
    <t>I1.2</t>
  </si>
  <si>
    <t>I1.3</t>
  </si>
  <si>
    <t>I1.4</t>
  </si>
  <si>
    <t>I1.5</t>
  </si>
  <si>
    <t>I1.6</t>
  </si>
  <si>
    <t>I1.7</t>
  </si>
  <si>
    <t>I2.0</t>
  </si>
  <si>
    <t>I2.1</t>
  </si>
  <si>
    <t>I2.2</t>
  </si>
  <si>
    <t>I2.3</t>
  </si>
  <si>
    <t>I2.4</t>
  </si>
  <si>
    <t>I2.5</t>
  </si>
  <si>
    <t>I2.6</t>
  </si>
  <si>
    <t>I2.7</t>
  </si>
  <si>
    <t>I3.0</t>
  </si>
  <si>
    <t>I3.1</t>
  </si>
  <si>
    <t>I3.2</t>
  </si>
  <si>
    <t>I3.3</t>
  </si>
  <si>
    <t>I3.4</t>
  </si>
  <si>
    <t>I3.5</t>
  </si>
  <si>
    <t>I3.6</t>
  </si>
  <si>
    <t>I3.7</t>
  </si>
  <si>
    <t>I4.0</t>
  </si>
  <si>
    <t>I4.1</t>
  </si>
  <si>
    <t>I4.2</t>
  </si>
  <si>
    <t>I4.3</t>
  </si>
  <si>
    <t>I4.4</t>
  </si>
  <si>
    <t>I4.5</t>
  </si>
  <si>
    <t>I4.6</t>
  </si>
  <si>
    <t>I4.7</t>
  </si>
  <si>
    <t>Q1.0</t>
  </si>
  <si>
    <t>Q1.1</t>
  </si>
  <si>
    <t>Q1.2</t>
  </si>
  <si>
    <t>Q1.3</t>
  </si>
  <si>
    <t>Q1.4</t>
  </si>
  <si>
    <t>Q1.5</t>
  </si>
  <si>
    <t>Q1.6</t>
  </si>
  <si>
    <t>Q1.7</t>
  </si>
  <si>
    <t>Q2.0</t>
  </si>
  <si>
    <t>Q2.1</t>
  </si>
  <si>
    <t>Q2.2</t>
  </si>
  <si>
    <t>Q2.3</t>
  </si>
  <si>
    <t>Q2.4</t>
  </si>
  <si>
    <t>Q2.5</t>
  </si>
  <si>
    <t>Q2.6</t>
  </si>
  <si>
    <t>Q2.7</t>
  </si>
  <si>
    <t>Q3.0</t>
  </si>
  <si>
    <t>Q3.1</t>
  </si>
  <si>
    <t>Q3.2</t>
  </si>
  <si>
    <t>Q3.3</t>
  </si>
  <si>
    <t>Q3.4</t>
  </si>
  <si>
    <t>Q3.5</t>
  </si>
  <si>
    <t>Q3.6</t>
  </si>
  <si>
    <t>Q3.7</t>
  </si>
  <si>
    <t>Versão:</t>
  </si>
  <si>
    <t>I5.0</t>
  </si>
  <si>
    <t>I5.1</t>
  </si>
  <si>
    <t>I5.2</t>
  </si>
  <si>
    <t>I5.3</t>
  </si>
  <si>
    <t>I5.4</t>
  </si>
  <si>
    <t>I5.5</t>
  </si>
  <si>
    <t>I5.6</t>
  </si>
  <si>
    <t>I5.7</t>
  </si>
  <si>
    <t>I6.0</t>
  </si>
  <si>
    <t>I6.1</t>
  </si>
  <si>
    <t>I6.2</t>
  </si>
  <si>
    <t>I6.3</t>
  </si>
  <si>
    <t>I6.4</t>
  </si>
  <si>
    <t>I6.5</t>
  </si>
  <si>
    <t>I6.6</t>
  </si>
  <si>
    <t>I6.7</t>
  </si>
  <si>
    <t>Q4.0</t>
  </si>
  <si>
    <t>Q4.1</t>
  </si>
  <si>
    <t>Q4.2</t>
  </si>
  <si>
    <t>Q4.3</t>
  </si>
  <si>
    <t>Q4.4</t>
  </si>
  <si>
    <t>Q4.5</t>
  </si>
  <si>
    <t>Q4.6</t>
  </si>
  <si>
    <t>Q4.7</t>
  </si>
  <si>
    <t>Q5.0</t>
  </si>
  <si>
    <t>Q5.1</t>
  </si>
  <si>
    <t>Q5.2</t>
  </si>
  <si>
    <t>Q5.3</t>
  </si>
  <si>
    <t>Q5.4</t>
  </si>
  <si>
    <t>Q5.5</t>
  </si>
  <si>
    <t>Q5.6</t>
  </si>
  <si>
    <t>Q5.7</t>
  </si>
  <si>
    <t>Q6.0</t>
  </si>
  <si>
    <t>Q6.1</t>
  </si>
  <si>
    <t>Q6.2</t>
  </si>
  <si>
    <t>Q6.3</t>
  </si>
  <si>
    <t>Q6.4</t>
  </si>
  <si>
    <t>Q6.5</t>
  </si>
  <si>
    <t>Q6.6</t>
  </si>
  <si>
    <t>Q6.7</t>
  </si>
  <si>
    <t>revB0</t>
  </si>
  <si>
    <t>SR1.1</t>
  </si>
  <si>
    <t>SR1.2</t>
  </si>
  <si>
    <t>SR1.3</t>
  </si>
  <si>
    <t>SR1.4</t>
  </si>
  <si>
    <t>SR1.5</t>
  </si>
  <si>
    <t>SR1.6</t>
  </si>
  <si>
    <t>SR1.7</t>
  </si>
  <si>
    <t>SR1.8</t>
  </si>
  <si>
    <t>SR2.1</t>
  </si>
  <si>
    <t>SR2.2</t>
  </si>
  <si>
    <t>SR2.3</t>
  </si>
  <si>
    <t>SR2.4</t>
  </si>
  <si>
    <t>SR2.5</t>
  </si>
  <si>
    <t>SR2.6</t>
  </si>
  <si>
    <t>SR2.7</t>
  </si>
  <si>
    <t>SR2.8</t>
  </si>
  <si>
    <t>KL2809</t>
  </si>
  <si>
    <t>KL1809</t>
  </si>
  <si>
    <t>Exterior</t>
  </si>
  <si>
    <t>Scanner</t>
  </si>
  <si>
    <t>Rastreabilidade do Dummy</t>
  </si>
  <si>
    <t>Trigger por fotoelétrico</t>
  </si>
  <si>
    <t>Dispensador de etiquetas</t>
  </si>
  <si>
    <r>
      <t xml:space="preserve">Inserir etiqueta </t>
    </r>
    <r>
      <rPr>
        <sz val="10"/>
        <color rgb="FFFF0000"/>
        <rFont val="Arial"/>
        <family val="2"/>
      </rPr>
      <t>?????</t>
    </r>
  </si>
  <si>
    <t>Gaveta NOK</t>
  </si>
  <si>
    <t>Com switch magnético</t>
  </si>
  <si>
    <t>Gaveta</t>
  </si>
  <si>
    <t>Ninho</t>
  </si>
  <si>
    <t>Deteção peça Indutivo + Ingun</t>
  </si>
  <si>
    <t>Encravamento Guiding Frame</t>
  </si>
  <si>
    <t>Ferramenta Superior</t>
  </si>
  <si>
    <t>Ferramenta</t>
  </si>
  <si>
    <t>Proy para Eixo ZZ</t>
  </si>
  <si>
    <t>Medição</t>
  </si>
  <si>
    <t>15 Potenciometros para medir parafusos</t>
  </si>
  <si>
    <t>Ferramenta Inferior</t>
  </si>
  <si>
    <t>7 Potenciometros para medir parafusos</t>
  </si>
  <si>
    <t>Scanner para rastreabilidade do guiding frame</t>
  </si>
  <si>
    <t>Pedal</t>
  </si>
  <si>
    <t>Sim</t>
  </si>
  <si>
    <t>Caixa NOK</t>
  </si>
  <si>
    <t>Sensor na caixa NOK</t>
  </si>
  <si>
    <t>Bloco de EV</t>
  </si>
  <si>
    <t>Normal</t>
  </si>
  <si>
    <t>Aspiração</t>
  </si>
  <si>
    <t>Porta de Manutenção</t>
  </si>
  <si>
    <t>Porta de Operação</t>
  </si>
  <si>
    <t>Base Fixa</t>
  </si>
  <si>
    <t>Não</t>
  </si>
  <si>
    <t>Analógica</t>
  </si>
  <si>
    <t>Nº. Ninhos na Gaveta</t>
  </si>
  <si>
    <t>Computador touch</t>
  </si>
  <si>
    <t>Ecrã touch</t>
  </si>
  <si>
    <t>Computador</t>
  </si>
  <si>
    <t>UPS</t>
  </si>
  <si>
    <t>Referência</t>
  </si>
  <si>
    <t>Marca</t>
  </si>
  <si>
    <t>Quantidade</t>
  </si>
  <si>
    <t>AHP-1083HTT-A1-1010</t>
  </si>
  <si>
    <t>AAEON</t>
  </si>
  <si>
    <t>Consola táctil</t>
  </si>
  <si>
    <t>Cognex</t>
  </si>
  <si>
    <t>DMR-60X-00</t>
  </si>
  <si>
    <t>GKS 364 205 400 A 1501</t>
  </si>
  <si>
    <t>Ingun</t>
  </si>
  <si>
    <t>Agulhas de teste</t>
  </si>
  <si>
    <t>Megatron</t>
  </si>
  <si>
    <t>MM10</t>
  </si>
  <si>
    <t>Potenciometros lineares</t>
  </si>
  <si>
    <t>Schmersal</t>
  </si>
  <si>
    <t>Interruptores mecânicos de segurança</t>
  </si>
  <si>
    <t>Interruptores magnéticos de segurança</t>
  </si>
  <si>
    <t>Legrand</t>
  </si>
  <si>
    <t>Tripla</t>
  </si>
  <si>
    <t>Cabo de alimentação</t>
  </si>
  <si>
    <t>Mardquardt</t>
  </si>
  <si>
    <t>??</t>
  </si>
  <si>
    <t>BNS 260-11Z-ST-R + BPS 260-1</t>
  </si>
  <si>
    <t>Sato</t>
  </si>
  <si>
    <t>Y1</t>
  </si>
  <si>
    <t>Nº AI
xml</t>
  </si>
  <si>
    <t>Nº AO
xml</t>
  </si>
  <si>
    <t>Safety_Circuit_On</t>
  </si>
  <si>
    <t>Air_Pressure</t>
  </si>
  <si>
    <t>Reserve_3</t>
  </si>
  <si>
    <t>Foot_Start</t>
  </si>
  <si>
    <t>Button_NOK</t>
  </si>
  <si>
    <t>Button_Cycle</t>
  </si>
  <si>
    <t>Safety_Relay_On</t>
  </si>
  <si>
    <t>Signal_OK</t>
  </si>
  <si>
    <t>Signal_NOK</t>
  </si>
  <si>
    <t>Sol_Vacuum</t>
  </si>
  <si>
    <t>Sol_Vacuum_Cleaner</t>
  </si>
  <si>
    <t>Reserve</t>
  </si>
  <si>
    <t>Operation_L_Door_Open</t>
  </si>
  <si>
    <t>D-C73L</t>
  </si>
  <si>
    <t>D-Z73L</t>
  </si>
  <si>
    <t>SR3.1</t>
  </si>
  <si>
    <t>SR3.2</t>
  </si>
  <si>
    <t>SR3.3</t>
  </si>
  <si>
    <t>SR3.4</t>
  </si>
  <si>
    <t>SR3.5</t>
  </si>
  <si>
    <t>SR3.6</t>
  </si>
  <si>
    <t>SR3.7</t>
  </si>
  <si>
    <t>SR3.8</t>
  </si>
  <si>
    <t>I7.0</t>
  </si>
  <si>
    <t>I7.1</t>
  </si>
  <si>
    <t>I7.2</t>
  </si>
  <si>
    <t>I7.3</t>
  </si>
  <si>
    <t>I7.4</t>
  </si>
  <si>
    <t>I7.5</t>
  </si>
  <si>
    <t>I7.6</t>
  </si>
  <si>
    <t>I7.7</t>
  </si>
  <si>
    <t>Q7.0</t>
  </si>
  <si>
    <t>Q7.1</t>
  </si>
  <si>
    <t>Q7.2</t>
  </si>
  <si>
    <t>Q7.3</t>
  </si>
  <si>
    <t>Q7.4</t>
  </si>
  <si>
    <t>Q7.5</t>
  </si>
  <si>
    <t>Q7.6</t>
  </si>
  <si>
    <t>Q7.7</t>
  </si>
  <si>
    <t>QTD</t>
  </si>
  <si>
    <t>KL3064</t>
  </si>
  <si>
    <t>KL3062-0013</t>
  </si>
  <si>
    <t>REF</t>
  </si>
  <si>
    <t>TIPO</t>
  </si>
  <si>
    <t>8DI</t>
  </si>
  <si>
    <t>8DO</t>
  </si>
  <si>
    <t>2AO</t>
  </si>
  <si>
    <t>4AI</t>
  </si>
  <si>
    <t>2AI</t>
  </si>
  <si>
    <t>1AI</t>
  </si>
  <si>
    <t>KL1408</t>
  </si>
  <si>
    <t>KL2408</t>
  </si>
  <si>
    <t>KL4002</t>
  </si>
  <si>
    <t>KL3064-0011</t>
  </si>
  <si>
    <t>KL3062</t>
  </si>
  <si>
    <t>KL3011</t>
  </si>
  <si>
    <t>KL3012</t>
  </si>
  <si>
    <t>KL3022</t>
  </si>
  <si>
    <t>KL3201</t>
  </si>
  <si>
    <t>0..10V</t>
  </si>
  <si>
    <t>0..20V</t>
  </si>
  <si>
    <t>0..30V</t>
  </si>
  <si>
    <t>0..20mA</t>
  </si>
  <si>
    <t>4..20mA</t>
  </si>
  <si>
    <t>PT100 (RTD)</t>
  </si>
  <si>
    <t>KL3062-0011</t>
  </si>
  <si>
    <t xml:space="preserve">Block Valves </t>
  </si>
  <si>
    <t>1 - Proy</t>
  </si>
  <si>
    <t>16DI</t>
  </si>
  <si>
    <t>16DO</t>
  </si>
  <si>
    <t>EVT317-5DZ-02F-Q</t>
  </si>
  <si>
    <t>FO</t>
  </si>
  <si>
    <t>I8.0</t>
  </si>
  <si>
    <t>Q8.0</t>
  </si>
  <si>
    <t>I8.1</t>
  </si>
  <si>
    <t>Q8.1</t>
  </si>
  <si>
    <t>I8.2</t>
  </si>
  <si>
    <t>Q8.2</t>
  </si>
  <si>
    <t>I8.3</t>
  </si>
  <si>
    <t>Q8.3</t>
  </si>
  <si>
    <t>I8.4</t>
  </si>
  <si>
    <t>Q8.4</t>
  </si>
  <si>
    <t>I8.5</t>
  </si>
  <si>
    <t>Q8.5</t>
  </si>
  <si>
    <t>I8.6</t>
  </si>
  <si>
    <t>Q8.6</t>
  </si>
  <si>
    <t>I8.7</t>
  </si>
  <si>
    <t>Q8.7</t>
  </si>
  <si>
    <t>I9.0</t>
  </si>
  <si>
    <t>Q9.0</t>
  </si>
  <si>
    <t>I9.1</t>
  </si>
  <si>
    <t>Q9.1</t>
  </si>
  <si>
    <t>I9.2</t>
  </si>
  <si>
    <t>Q9.2</t>
  </si>
  <si>
    <t>I9.3</t>
  </si>
  <si>
    <t>Q9.3</t>
  </si>
  <si>
    <t>I9.4</t>
  </si>
  <si>
    <t>Q9.4</t>
  </si>
  <si>
    <t>I9.5</t>
  </si>
  <si>
    <t>Q9.5</t>
  </si>
  <si>
    <t>I9.6</t>
  </si>
  <si>
    <t>Q9.6</t>
  </si>
  <si>
    <t>I9.7</t>
  </si>
  <si>
    <t>Q9.7</t>
  </si>
  <si>
    <t>SV3300-5W1U</t>
  </si>
  <si>
    <t>Rui Ferreira</t>
  </si>
  <si>
    <t>DW-AD-603-M5</t>
  </si>
  <si>
    <t>Elaboração inicial</t>
  </si>
  <si>
    <t>Sensores na Posição Home - "H"; Sensores na Posição Work - "W"; Proy 1 (frente) - "P1"; Proy 2 (atras) - "P2" Cavidade 1 - "C1"; Base Montagem Fixa - "EB"</t>
  </si>
  <si>
    <t>D-F8PL</t>
  </si>
  <si>
    <t>AI14</t>
  </si>
  <si>
    <t>AO14</t>
  </si>
  <si>
    <t>AI15</t>
  </si>
  <si>
    <t>AO15</t>
  </si>
  <si>
    <t>I/I</t>
  </si>
  <si>
    <t>D-A93L</t>
  </si>
  <si>
    <t>F</t>
  </si>
  <si>
    <t>AI16</t>
  </si>
  <si>
    <t>AO16</t>
  </si>
  <si>
    <t>AI17</t>
  </si>
  <si>
    <t>AO17</t>
  </si>
  <si>
    <t>AI18</t>
  </si>
  <si>
    <t>AO18</t>
  </si>
  <si>
    <t>AI19</t>
  </si>
  <si>
    <t>AO19</t>
  </si>
  <si>
    <t>SV3100-5FUD</t>
  </si>
  <si>
    <t>SV3A00-5FUD</t>
  </si>
  <si>
    <t>3 - Drawer</t>
  </si>
  <si>
    <t>SV3100-5W1U</t>
  </si>
  <si>
    <t>NOK</t>
  </si>
  <si>
    <t>I</t>
  </si>
  <si>
    <t>MMR 10 12 R5K W15% L2%</t>
  </si>
  <si>
    <t>Potenciometro</t>
  </si>
  <si>
    <t>P</t>
  </si>
  <si>
    <t>DW-AD-623-M5</t>
  </si>
  <si>
    <t>M5|PNP|1,5mm|2m</t>
  </si>
  <si>
    <t>DW-AS-603-M5</t>
  </si>
  <si>
    <t>DW-AS-623-M5</t>
  </si>
  <si>
    <t>M5|PNP|1,5mm|M8</t>
  </si>
  <si>
    <t>LHR-C12PA-NMV-303</t>
  </si>
  <si>
    <t>PNP|0-30mm|2m</t>
  </si>
  <si>
    <t>LHR-C12PA-NSV-303</t>
  </si>
  <si>
    <t>PNP|0-15mm|2m</t>
  </si>
  <si>
    <t>LHR-C12PA-PLK-303</t>
  </si>
  <si>
    <t>PNP|2-120mm|2m</t>
  </si>
  <si>
    <t>B</t>
  </si>
  <si>
    <t>PNP|SOLID-STATE|3m</t>
  </si>
  <si>
    <t>REED|3m</t>
  </si>
  <si>
    <t>L</t>
  </si>
  <si>
    <t>E3Z-LL86</t>
  </si>
  <si>
    <t>Consola AAEON - AHP - 1083HTT-A1-1010;</t>
  </si>
  <si>
    <t>Rodrigo Silveira</t>
  </si>
  <si>
    <t>ACL</t>
  </si>
  <si>
    <t>SY3100-5U1</t>
  </si>
  <si>
    <t>SY3A00-5U1</t>
  </si>
  <si>
    <t>1 - Drawer</t>
  </si>
  <si>
    <t>2 - Proy</t>
  </si>
  <si>
    <t>3 - Proy</t>
  </si>
  <si>
    <t>4 - Proy</t>
  </si>
  <si>
    <t>5 - Proy</t>
  </si>
  <si>
    <t>6 - Proy</t>
  </si>
  <si>
    <t>7 - Proy</t>
  </si>
  <si>
    <t>8 - Proy</t>
  </si>
  <si>
    <t>9 - Proy</t>
  </si>
  <si>
    <t>2 - Drawer</t>
  </si>
  <si>
    <t>4 - Drawer</t>
  </si>
  <si>
    <t>5 - Drawer</t>
  </si>
  <si>
    <t>6 - Drawer</t>
  </si>
  <si>
    <t>7 - Drawer</t>
  </si>
  <si>
    <t>8 - Drawer</t>
  </si>
  <si>
    <t>9 - Drawer</t>
  </si>
  <si>
    <t>10 - Drawer</t>
  </si>
  <si>
    <t>10 - Proy</t>
  </si>
  <si>
    <t>1 - External Base</t>
  </si>
  <si>
    <t>2 - External Base</t>
  </si>
  <si>
    <t>3 - External Base</t>
  </si>
  <si>
    <t>4 - External Base</t>
  </si>
  <si>
    <t>5 - External Base</t>
  </si>
  <si>
    <t>6 - External Base</t>
  </si>
  <si>
    <t>7 - External Base</t>
  </si>
  <si>
    <t>8 - External Base</t>
  </si>
  <si>
    <t>9 - External Base</t>
  </si>
  <si>
    <t>10 - External Base</t>
  </si>
  <si>
    <t>1 - Machine Cover</t>
  </si>
  <si>
    <t>2 - Machine Cover</t>
  </si>
  <si>
    <t>3 - Machine Cover</t>
  </si>
  <si>
    <t>4 - Machine Cover</t>
  </si>
  <si>
    <t>5 - Machine Cover</t>
  </si>
  <si>
    <t>6 - Machine Cover</t>
  </si>
  <si>
    <t>7 - Machine Cover</t>
  </si>
  <si>
    <t>8 - Machine Cover</t>
  </si>
  <si>
    <t>9 - Machine Cover</t>
  </si>
  <si>
    <t>10 - Machine Cover</t>
  </si>
  <si>
    <t>Det_Drawer_W</t>
  </si>
  <si>
    <t>Det_OpDoor_W</t>
  </si>
  <si>
    <t>Gaveta ou Porta?</t>
  </si>
  <si>
    <t>Quadros Elétricos?</t>
  </si>
  <si>
    <t>Consola ou PC?</t>
  </si>
  <si>
    <t>Autor:</t>
  </si>
  <si>
    <t>RFID?</t>
  </si>
  <si>
    <t>Dispensador?</t>
  </si>
  <si>
    <t>Bi - com cilindros Abertos</t>
  </si>
  <si>
    <t>Bi - com cilindros Fechados</t>
  </si>
  <si>
    <t>Mono</t>
  </si>
  <si>
    <t>usada para a aspiração</t>
  </si>
  <si>
    <t>usada para o Proy</t>
  </si>
  <si>
    <t>Mono - cilindros</t>
  </si>
  <si>
    <t>usada para habilitar os 6Bar de perigo</t>
  </si>
  <si>
    <t>M8 3P</t>
  </si>
  <si>
    <t>M8 4P</t>
  </si>
  <si>
    <t>3m</t>
  </si>
  <si>
    <t>BNS 260-11Z-ST-R | BPS 260-1</t>
  </si>
  <si>
    <t>SR4.1</t>
  </si>
  <si>
    <t>SR4.2</t>
  </si>
  <si>
    <t>SR4.3</t>
  </si>
  <si>
    <t>SR4.4</t>
  </si>
  <si>
    <t>SR4.5</t>
  </si>
  <si>
    <t>SR4.6</t>
  </si>
  <si>
    <t>SR4.7</t>
  </si>
  <si>
    <t>SR5.1</t>
  </si>
  <si>
    <t>SR5.2</t>
  </si>
  <si>
    <t>SR5.3</t>
  </si>
  <si>
    <t>SR5.4</t>
  </si>
  <si>
    <t>SR5.5</t>
  </si>
  <si>
    <t>SR5.6</t>
  </si>
  <si>
    <t>SR5.7</t>
  </si>
  <si>
    <t>SR6.1</t>
  </si>
  <si>
    <t>SR6.2</t>
  </si>
  <si>
    <t>SR6.3</t>
  </si>
  <si>
    <t>SR6.4</t>
  </si>
  <si>
    <t>SR6.5</t>
  </si>
  <si>
    <t>SR6.6</t>
  </si>
  <si>
    <t>SR6.7</t>
  </si>
  <si>
    <t>SR7.1</t>
  </si>
  <si>
    <t>SR7.2</t>
  </si>
  <si>
    <t>SR7.3</t>
  </si>
  <si>
    <t>SR7.4</t>
  </si>
  <si>
    <t>SR7.5</t>
  </si>
  <si>
    <t>SR7.6</t>
  </si>
  <si>
    <t>SR7.7</t>
  </si>
  <si>
    <t>SR8.1</t>
  </si>
  <si>
    <t>SR8.2</t>
  </si>
  <si>
    <t>SR8.3</t>
  </si>
  <si>
    <t>SR8.4</t>
  </si>
  <si>
    <t>SR8.5</t>
  </si>
  <si>
    <t>SR8.6</t>
  </si>
  <si>
    <t>SR8.7</t>
  </si>
  <si>
    <t>SR9.1</t>
  </si>
  <si>
    <t>SR9.2</t>
  </si>
  <si>
    <t>SR9.3</t>
  </si>
  <si>
    <t>SR9.4</t>
  </si>
  <si>
    <t>SR9.5</t>
  </si>
  <si>
    <t>SR9.6</t>
  </si>
  <si>
    <t>SR9.7</t>
  </si>
  <si>
    <t>SR10.1</t>
  </si>
  <si>
    <t>SR10.2</t>
  </si>
  <si>
    <t>SR10.3</t>
  </si>
  <si>
    <t>SR10.4</t>
  </si>
  <si>
    <t>SR10.5</t>
  </si>
  <si>
    <t>SR10.6</t>
  </si>
  <si>
    <t>SR10.7</t>
  </si>
  <si>
    <t>SR4.8</t>
  </si>
  <si>
    <t>SR5.8</t>
  </si>
  <si>
    <t>SR6.8</t>
  </si>
  <si>
    <t>SR7.8</t>
  </si>
  <si>
    <t>SR8.8</t>
  </si>
  <si>
    <t>SR9.8</t>
  </si>
  <si>
    <t>SR10.8</t>
  </si>
  <si>
    <t>Contrinex</t>
  </si>
  <si>
    <t>Omron</t>
  </si>
  <si>
    <t>Banner</t>
  </si>
  <si>
    <t>Q4XTBLAF300-Q8</t>
  </si>
  <si>
    <t>PNP|Laser|2m</t>
  </si>
  <si>
    <t>PNP|Laser|M8|4P</t>
  </si>
  <si>
    <t>PNP|Laser|M12|4P</t>
  </si>
  <si>
    <t>M12 4P</t>
  </si>
  <si>
    <t>Sensor de Medição</t>
  </si>
  <si>
    <t>SMC</t>
  </si>
  <si>
    <t>Schneider</t>
  </si>
  <si>
    <t>Sistema vacuo</t>
  </si>
  <si>
    <t>ZK2G15K5RW-08</t>
  </si>
  <si>
    <t>Waldmann</t>
  </si>
  <si>
    <t>Pressostato Digital</t>
  </si>
  <si>
    <t>ISE40A-01-P-L</t>
  </si>
  <si>
    <t>SMC AC30-RBU021</t>
  </si>
  <si>
    <t>UTA</t>
  </si>
  <si>
    <t>Honeywell</t>
  </si>
  <si>
    <t>Scanner manual</t>
  </si>
  <si>
    <t>used to control of compressed air or vacuum in pneumatic industrial automation systems</t>
  </si>
  <si>
    <t>VT307-5DZ1-02F-Q</t>
  </si>
  <si>
    <t>Caracteristicas</t>
  </si>
  <si>
    <t>Ligação</t>
  </si>
  <si>
    <t>Função</t>
  </si>
  <si>
    <t>Tipo(abr)</t>
  </si>
  <si>
    <t>Indutivo</t>
  </si>
  <si>
    <t>Fotoeléctricos</t>
  </si>
  <si>
    <t>Lazer</t>
  </si>
  <si>
    <t xml:space="preserve">Ref. Sensores </t>
  </si>
  <si>
    <t>Magnéticos</t>
  </si>
  <si>
    <t>Outros</t>
  </si>
  <si>
    <t xml:space="preserve">2 Limit switch da Omron a monitorizar as 2 EV's --&gt; </t>
  </si>
  <si>
    <t>D4N-9B31</t>
  </si>
  <si>
    <t>EV Gerais</t>
  </si>
  <si>
    <t>24Vdc 0,45W c/ cachimbos)</t>
  </si>
  <si>
    <t xml:space="preserve">VP544-5DZ1-03F-M-X555 </t>
  </si>
  <si>
    <t xml:space="preserve">Magnéticos-Sensores </t>
  </si>
  <si>
    <t xml:space="preserve">Lazer </t>
  </si>
  <si>
    <t xml:space="preserve">Fotoeléctricos </t>
  </si>
  <si>
    <t>Indutivos</t>
  </si>
  <si>
    <t>utilizado no cilindro do Proy</t>
  </si>
  <si>
    <t>utilizado no cilindro da gaveta e porta operação</t>
  </si>
  <si>
    <t>magnético de segurança</t>
  </si>
  <si>
    <t>Identificações de sensores nas barras</t>
  </si>
  <si>
    <t>Ref. Valves</t>
  </si>
  <si>
    <t>Bloco</t>
  </si>
  <si>
    <t>Individuais</t>
  </si>
  <si>
    <t>D-M9PL</t>
  </si>
  <si>
    <t>Amplificador Simples c/ FO M3</t>
  </si>
  <si>
    <t>Amplificador Simples c/ FO M6</t>
  </si>
  <si>
    <t>Amplificador Duplo c/ FO M3</t>
  </si>
  <si>
    <t>Amplificador Duplo c/ FO M6</t>
  </si>
  <si>
    <t>REED|1NO1NC</t>
  </si>
  <si>
    <t>REED|2NC</t>
  </si>
  <si>
    <t>Referências 
Sensores</t>
  </si>
  <si>
    <t>Referências
Valves</t>
  </si>
  <si>
    <t>E3Z-LL81</t>
  </si>
  <si>
    <t>Monitor touch LG (17MB15T0); Computador (Nise 3140);  UPS APC (BR550G);</t>
  </si>
  <si>
    <t>BK9100;</t>
  </si>
  <si>
    <t>BC9120;</t>
  </si>
  <si>
    <t>1xDispensador de etiquetas;</t>
  </si>
  <si>
    <t>Scanners Estrututa?</t>
  </si>
  <si>
    <t>Scanners EB?</t>
  </si>
  <si>
    <t>Não tem Dispensador de etiquetas;</t>
  </si>
  <si>
    <t>Não tem Scanner Cognex(DMR-60X-00) na Gaveta;</t>
  </si>
  <si>
    <t>1xScanner Cognex(DMR-60X-00) na Gaveta;</t>
  </si>
  <si>
    <t>2xScanner Cognex(DMR-60X-00) na Gaveta;</t>
  </si>
  <si>
    <t>3xScanner Cognex(DMR-60X-00) na Gaveta;</t>
  </si>
  <si>
    <t>4xScanner Cognex(DMR-60X-00) na Gaveta;</t>
  </si>
  <si>
    <t>5xScanner Cognex(DMR-60X-00) na Gaveta;</t>
  </si>
  <si>
    <t>Não tem Scanner Cognex(DMR-60X-00) na Estrutura;</t>
  </si>
  <si>
    <t>1xScanner Cognex(DMR-60X-00) na Estrutura;</t>
  </si>
  <si>
    <t>2xScanner Cognex(DMR-60X-00) na Estrutura;</t>
  </si>
  <si>
    <t>3xScanner Cognex(DMR-60X-00) na Estrutura;</t>
  </si>
  <si>
    <t>4xScanner Cognex(DMR-60X-00) na Estrutura;</t>
  </si>
  <si>
    <t>5xScanner Cognex(DMR-60X-00) na Estrutura;</t>
  </si>
  <si>
    <t>Não tem Scanner Cognex(DMR-60X-00) na EB;</t>
  </si>
  <si>
    <t>1xScanner Cognex(DMR-60X-00) na EB;</t>
  </si>
  <si>
    <t>2xScanner Cognex(DMR-60X-00) na EB;</t>
  </si>
  <si>
    <t>3xScanner Cognex(DMR-60X-00) na EB;</t>
  </si>
  <si>
    <t>4xScanner Cognex(DMR-60X-00) na EB;</t>
  </si>
  <si>
    <t>5xScanner Cognex(DMR-60X-00) na EB;</t>
  </si>
  <si>
    <t>1xScanner Cognex(DM260X);</t>
  </si>
  <si>
    <t>2xScanner Cognex(DM260X);</t>
  </si>
  <si>
    <t>Scanners?</t>
  </si>
  <si>
    <t>Scanners Outros?</t>
  </si>
  <si>
    <t>Lingua da Documentação:</t>
  </si>
  <si>
    <t>Eixo Eléctrico?</t>
  </si>
  <si>
    <t>Não tem Eixo Eléctrico;</t>
  </si>
  <si>
    <t>1xEixo (X) elétrico iAi na Ferramenta;</t>
  </si>
  <si>
    <t>1xEixo elétrico iAi na Gaveta;</t>
  </si>
  <si>
    <t>1xEixo (Y) elétrico iAi na Ferramenta;</t>
  </si>
  <si>
    <t>1xEixo (Z) elétrico iAi na Ferramenta;</t>
  </si>
  <si>
    <t xml:space="preserve">1 - Inferior Tool </t>
  </si>
  <si>
    <t xml:space="preserve">2 - Inferior Tool </t>
  </si>
  <si>
    <t xml:space="preserve">3 - Inferior Tool </t>
  </si>
  <si>
    <t xml:space="preserve">4 - Inferior Tool </t>
  </si>
  <si>
    <t xml:space="preserve">5 - Inferior Tool </t>
  </si>
  <si>
    <t xml:space="preserve">6 - Inferior Tool </t>
  </si>
  <si>
    <t xml:space="preserve">7 - Inferior Tool </t>
  </si>
  <si>
    <t xml:space="preserve">8 - Inferior Tool </t>
  </si>
  <si>
    <t xml:space="preserve">9 - Inferior Tool </t>
  </si>
  <si>
    <t xml:space="preserve">10 - Inferior Tool </t>
  </si>
  <si>
    <t>Barras de Sensores</t>
  </si>
  <si>
    <t>AZ16-12ZVRK-M16 | AZ 15/16-B6</t>
  </si>
  <si>
    <t>Interlock switch</t>
  </si>
  <si>
    <t>cto secos</t>
  </si>
  <si>
    <t>Interlock switch de segurança</t>
  </si>
  <si>
    <t>BNS 260-02Z-ST-R | BPS 260-1</t>
  </si>
  <si>
    <t>Caixa NOK?</t>
  </si>
  <si>
    <t>Rejection_Box</t>
  </si>
  <si>
    <t xml:space="preserve"> - Valves baixa Pressão</t>
  </si>
  <si>
    <t>Layout Posições Trabalho</t>
  </si>
  <si>
    <t>Cliente Final (Resp. / SW)</t>
  </si>
  <si>
    <t>Cliente (Resp. / Desenhador)</t>
  </si>
  <si>
    <t>Não tem Rastreabilidade RFID;</t>
  </si>
  <si>
    <t>1xRastreabilidade RFID;</t>
  </si>
  <si>
    <t>2xRastreabilidade RFID;</t>
  </si>
  <si>
    <t>3xRastreabilidade RFID;</t>
  </si>
  <si>
    <t>4xRastreabilidade RFID;</t>
  </si>
  <si>
    <t>Doc. PT;</t>
  </si>
  <si>
    <t>Doc. EN;</t>
  </si>
  <si>
    <t>F3</t>
  </si>
  <si>
    <t>Plug_9Pin Phoenix</t>
  </si>
  <si>
    <t>Plug_25Pin Phoenix</t>
  </si>
  <si>
    <t>Cabo LiYY FD 10x0,25</t>
  </si>
  <si>
    <t>Cabo LiYY FD 18x0,25</t>
  </si>
  <si>
    <t>Cabo LiYY FD 25x0,25</t>
  </si>
  <si>
    <t>I10.0</t>
  </si>
  <si>
    <t>I10.1</t>
  </si>
  <si>
    <t>I10.2</t>
  </si>
  <si>
    <t>I10.3</t>
  </si>
  <si>
    <t>I10.4</t>
  </si>
  <si>
    <t>I10.5</t>
  </si>
  <si>
    <t>I10.6</t>
  </si>
  <si>
    <t>I10.7</t>
  </si>
  <si>
    <t>I11.0</t>
  </si>
  <si>
    <t>I11.1</t>
  </si>
  <si>
    <t>I11.2</t>
  </si>
  <si>
    <t>I11.3</t>
  </si>
  <si>
    <t>I11.4</t>
  </si>
  <si>
    <t>I11.5</t>
  </si>
  <si>
    <t>I11.6</t>
  </si>
  <si>
    <t>I11.7</t>
  </si>
  <si>
    <t>Q10.0</t>
  </si>
  <si>
    <t>Q10.1</t>
  </si>
  <si>
    <t>Q10.2</t>
  </si>
  <si>
    <t>Q10.3</t>
  </si>
  <si>
    <t>Q10.4</t>
  </si>
  <si>
    <t>Q10.5</t>
  </si>
  <si>
    <t>Q10.6</t>
  </si>
  <si>
    <t>Q10.7</t>
  </si>
  <si>
    <t>Q11.0</t>
  </si>
  <si>
    <t>Q11.1</t>
  </si>
  <si>
    <t>Q11.2</t>
  </si>
  <si>
    <t>Q11.3</t>
  </si>
  <si>
    <t>Q11.4</t>
  </si>
  <si>
    <t>Q11.5</t>
  </si>
  <si>
    <t>Q11.6</t>
  </si>
  <si>
    <t>Q11.7</t>
  </si>
  <si>
    <t>NOTAS - CONTROLAR</t>
  </si>
  <si>
    <t>Status</t>
  </si>
  <si>
    <t>Status:</t>
  </si>
  <si>
    <t>OK</t>
  </si>
  <si>
    <t>→</t>
  </si>
  <si>
    <t>Data</t>
  </si>
  <si>
    <t>Via</t>
  </si>
  <si>
    <t>1 - Exterior</t>
  </si>
  <si>
    <t>2 - Exterior</t>
  </si>
  <si>
    <t>3 - Exterior</t>
  </si>
  <si>
    <t>4 - Exterior</t>
  </si>
  <si>
    <t>5 - Exterior</t>
  </si>
  <si>
    <t>6 - Exterior</t>
  </si>
  <si>
    <t>7 - Exterior</t>
  </si>
  <si>
    <t>8 - Exterior</t>
  </si>
  <si>
    <t>9 - Exterior</t>
  </si>
  <si>
    <t>10 - Exterior</t>
  </si>
  <si>
    <t>FO M3</t>
  </si>
  <si>
    <t>__</t>
  </si>
  <si>
    <t>FO M6</t>
  </si>
  <si>
    <t>E3X-MDA41 | (M6)E32-DC200</t>
  </si>
  <si>
    <t>E3X-MDA41 | (M3)E32-DC200E</t>
  </si>
  <si>
    <t>E3X-DA41-N | (M6)E32-DC200</t>
  </si>
  <si>
    <t>E3X-DA41-N | (M3)E32-DC200E</t>
  </si>
  <si>
    <t>(M3)E32-DC200E</t>
  </si>
  <si>
    <t>(M6)E32-DC200</t>
  </si>
  <si>
    <t>Monitor touch LG (17MB15T0); Computador (Nise 3500P2);  UPS APC (BR550G);</t>
  </si>
  <si>
    <t xml:space="preserve">SY3140-5LOU-Q </t>
  </si>
  <si>
    <t>1xScanner Honeywell (1900GSR-2USB);</t>
  </si>
  <si>
    <t>2xScanner Honeywell (1900GSR-2USB);</t>
  </si>
  <si>
    <t>AI</t>
  </si>
  <si>
    <t>AO</t>
  </si>
  <si>
    <t>Monitor touch LG (17MB15T0); Computador (Nise 3800E2);  UPS APC (BR550G);</t>
  </si>
  <si>
    <t>Panel PC AAEON (OMNI-215DHTT-KIT-A1-1011) (15.6” Modular HMI Panel PC with 6th Generation Intel® Core™ i5-6300U/ Celeron® 3955U Processor)</t>
  </si>
  <si>
    <t>ref preferencial</t>
  </si>
  <si>
    <t>Tiago Correia</t>
  </si>
  <si>
    <t>Duvidas - Mecanica Controlar</t>
  </si>
  <si>
    <t>Cliente (PRJ / SW)</t>
  </si>
  <si>
    <t>Q.E.: 600x600x300 (a*l*p) Eldon;</t>
  </si>
  <si>
    <t>Q.E.: 600x800x300 (a*l*p) Eldon;</t>
  </si>
  <si>
    <t>Q.E.: 800x600x300 (a*l*p) Eldon;</t>
  </si>
  <si>
    <t>Q.E.: 800x800x300 (a*l*p) Eldon;</t>
  </si>
  <si>
    <t>Q.E.: 600x760x350 (l*a*p) Rittal [Ref.1376500]</t>
  </si>
  <si>
    <t>Q.E.: 600x600x350 (l*a*p) Rittal [Ref.1360500]</t>
  </si>
  <si>
    <t>Ventilador com filtro (92x92) [Ref. 3237100]</t>
  </si>
  <si>
    <t>Filtro [Ref 3237200]</t>
  </si>
  <si>
    <t>Porta Documentos [Ref. 2514000]</t>
  </si>
  <si>
    <t>Det_Housing_L</t>
  </si>
  <si>
    <t>Det_Housing_R</t>
  </si>
  <si>
    <t xml:space="preserve">1 - Tool </t>
  </si>
  <si>
    <t xml:space="preserve">2 - Tool </t>
  </si>
  <si>
    <t xml:space="preserve">3 - Tool </t>
  </si>
  <si>
    <t xml:space="preserve">4 - Tool </t>
  </si>
  <si>
    <t xml:space="preserve">5 - Tool </t>
  </si>
  <si>
    <t xml:space="preserve">6 - Tool </t>
  </si>
  <si>
    <t xml:space="preserve">7 - Tool </t>
  </si>
  <si>
    <t xml:space="preserve">8 - Tool </t>
  </si>
  <si>
    <t xml:space="preserve">9 - Tool </t>
  </si>
  <si>
    <t xml:space="preserve">10 - Tool </t>
  </si>
  <si>
    <t>Sol_Cyl_Lock_Part_W</t>
  </si>
  <si>
    <t>Sol_Cyl_Connection_W</t>
  </si>
  <si>
    <t>Button_Special_Function</t>
  </si>
  <si>
    <t>Power_UUT</t>
  </si>
  <si>
    <t>Relay_Enable_CL30</t>
  </si>
  <si>
    <t>Relay_Enable_CL15</t>
  </si>
  <si>
    <t>E3NX-FA41 2M | (M3)E32-DC200E</t>
  </si>
  <si>
    <t>preferencial</t>
  </si>
  <si>
    <t>E3NX-FA41 2M | (M6)E32-DC200</t>
  </si>
  <si>
    <t>E3NX-MA41 2M | (M3)E32-DC200E</t>
  </si>
  <si>
    <t>E3NX-MA41 2M | (M6)E32-DC200</t>
  </si>
  <si>
    <t>DW-AD-623-M5 | GKS-364 205 400 N 1501</t>
  </si>
  <si>
    <t>DW-AS-623-M5 | GKS-364 205 400 N 1501</t>
  </si>
  <si>
    <t>Cyl_Lock_Tool_W</t>
  </si>
  <si>
    <t>Button_OK/Foot</t>
  </si>
  <si>
    <t>Monitor touch LG (17MB15T0); Computador AAEON (BOXER-6640-A1-1010) (Fanless Embedded Box PC with 6th/7th Generation Intel® Core™ Desktop Processor and GbE) with Power Adapter 100-240Vac/1,8A 19Vdc/6,32A (1255901202); UPS APC (BR550G);</t>
  </si>
  <si>
    <t>MLAL 42 S (113 163 000 - 006 627 17)</t>
  </si>
  <si>
    <t>Luminária MACH LED Forty
600mm; 90° reflector</t>
  </si>
  <si>
    <t>Referencia Preh --&gt;780113163000-00662717PREH (Incluindo clips de fixação)</t>
  </si>
  <si>
    <t>Cyl_Connection_H</t>
  </si>
  <si>
    <t>Cyl_Connection_W</t>
  </si>
  <si>
    <t>Light_Barrier_NOK</t>
  </si>
  <si>
    <t>D-A93-M8(F)</t>
  </si>
  <si>
    <t>REED|0,2m</t>
  </si>
  <si>
    <t>M8 3P 0,2m</t>
  </si>
  <si>
    <t>custa 12,10euros - é o mesmo valor do sensor com cabo de 3m</t>
  </si>
  <si>
    <t>D-F8PSAPC</t>
  </si>
  <si>
    <t>PNP|SOLID-STATE|0,5m</t>
  </si>
  <si>
    <t>M8 3P 0,5m</t>
  </si>
  <si>
    <t>custa 36,36euros - é o mesmo valor do sensor com cabo de 3m</t>
  </si>
  <si>
    <t>Tool_Code_Bit0</t>
  </si>
  <si>
    <t>Station Coding Bit 0</t>
  </si>
  <si>
    <t>Tool_Code_Bit1</t>
  </si>
  <si>
    <t>Tool_Code_Bit2</t>
  </si>
  <si>
    <t>Cyl_Lock_Part_L1_H</t>
  </si>
  <si>
    <t>Cyl_Lock_Part_L1_W</t>
  </si>
  <si>
    <t>Cyl_Lock_Part_R1_H</t>
  </si>
  <si>
    <t>Cyl_Lock_Part_R1_W</t>
  </si>
  <si>
    <t>Cyl_Lock_Part_L2_H</t>
  </si>
  <si>
    <t>Cyl_Lock_Part_L2_W</t>
  </si>
  <si>
    <t>Cyl_Lock_Part_R2_H</t>
  </si>
  <si>
    <t>Cyl_Lock_Part_R2_W</t>
  </si>
  <si>
    <t>Det_Tool_L</t>
  </si>
  <si>
    <t>Det_Tool_R</t>
  </si>
  <si>
    <t>Cyl_Tool_Connection_H</t>
  </si>
  <si>
    <t>Cyl_Tool_Connection_W</t>
  </si>
  <si>
    <t>Cyl_Tool_Potis_1_H</t>
  </si>
  <si>
    <t>Cyl_Tool_Potis_1_W</t>
  </si>
  <si>
    <t>Cyl_Tool_Potis_2_H</t>
  </si>
  <si>
    <t>Cyl_Tool_Potis_2_W</t>
  </si>
  <si>
    <t>Relay_Machine_Light_Ext</t>
  </si>
  <si>
    <t>Relay_Machine_Light_Int</t>
  </si>
  <si>
    <t>Sol_Cyl_Tool_Connection_W</t>
  </si>
  <si>
    <t>Sol_Cyl_Lock_Tool_W</t>
  </si>
  <si>
    <t>Sol_Cyl_OpDoor_W</t>
  </si>
  <si>
    <t>Robo</t>
  </si>
  <si>
    <t>Sol_Cyl_Tool_Potis_W</t>
  </si>
  <si>
    <t>Poti1_ScrewRef1</t>
  </si>
  <si>
    <t>Poti2_Screw1</t>
  </si>
  <si>
    <t>Poti3_Screw2</t>
  </si>
  <si>
    <t>Poti4_Screw3</t>
  </si>
  <si>
    <t>Poti5_Screw4</t>
  </si>
  <si>
    <t>Sol_Cyl_OpDoor_H</t>
  </si>
  <si>
    <t>Maintenance_Doors_Open</t>
  </si>
  <si>
    <t>Poti6_Screw5</t>
  </si>
  <si>
    <t>Poti7_Screw6</t>
  </si>
  <si>
    <t>Poti8_Screw7</t>
  </si>
  <si>
    <t>Poti9_Screw8</t>
  </si>
  <si>
    <t>Cyl_Tool_Potis_3_H</t>
  </si>
  <si>
    <t>Cyl_Tool_Potis_3_W</t>
  </si>
  <si>
    <t>Cyl_Tool_Potis_4_H</t>
  </si>
  <si>
    <t>Cyl_Tool_Potis_4_W</t>
  </si>
  <si>
    <t>EOL1</t>
  </si>
  <si>
    <t>Pre</t>
  </si>
  <si>
    <t>eixo</t>
  </si>
  <si>
    <t>porta operação</t>
  </si>
  <si>
    <t>loadcell</t>
  </si>
  <si>
    <t>iluminação interior</t>
  </si>
  <si>
    <t>potis</t>
  </si>
  <si>
    <t>x</t>
  </si>
  <si>
    <t>interface connectors for tool changes</t>
  </si>
  <si>
    <t>mesa 1x impressora - peça OK</t>
  </si>
  <si>
    <t>caixa NOK</t>
  </si>
  <si>
    <t>scanner mao</t>
  </si>
  <si>
    <t>Tubus</t>
  </si>
  <si>
    <t>Cyl_Lock_Tool_H</t>
  </si>
  <si>
    <t>MCM Communication test of the 4-pin connector (send and receive CAN signals)</t>
  </si>
  <si>
    <t>visao</t>
  </si>
  <si>
    <t>MCM</t>
  </si>
  <si>
    <t>IKA</t>
  </si>
  <si>
    <t>ODU</t>
  </si>
  <si>
    <t>directo</t>
  </si>
  <si>
    <t>Pre-EOL1</t>
  </si>
  <si>
    <t>1x Monitor</t>
  </si>
  <si>
    <t>1x Computador</t>
  </si>
  <si>
    <t>1x Beckhoff BK9100</t>
  </si>
  <si>
    <t>1x Terminador KL9010</t>
  </si>
  <si>
    <t>1x Scanner Honeywell (1900GSR-2) com respectivo suporte</t>
  </si>
  <si>
    <t>1x UPS</t>
  </si>
  <si>
    <t>1x Fonte 24Vdc 120W 5A (geral)</t>
  </si>
  <si>
    <t>1x Fonte 24Vdc 120W 5A (iAi)</t>
  </si>
  <si>
    <t>1x Caixa Rejeição</t>
  </si>
  <si>
    <t>Cyl_OpDoor_H</t>
  </si>
  <si>
    <t>Sol_Cyl_Lock_Tool_H</t>
  </si>
  <si>
    <t>1x Fonte 12Vdc 50W 4A (UUT)</t>
  </si>
  <si>
    <t>4x Carta Beckhoff DI KL1809</t>
  </si>
  <si>
    <t>3x Carta Beckhoff DI KL2809</t>
  </si>
  <si>
    <t>6x Carta Beckhoff AI KL3062-0013</t>
  </si>
  <si>
    <t>1x Switch rede EDS-G308</t>
  </si>
  <si>
    <t>1x DMM 4065 USB NI</t>
  </si>
  <si>
    <t>1x Labelprinter CAB Squix</t>
  </si>
  <si>
    <t>camara visão (subsitui o tubos)</t>
  </si>
  <si>
    <t>3x PCan-USB (2 deles para o conector de 4Pin do MCM )</t>
  </si>
  <si>
    <t>Relay_Backlight</t>
  </si>
  <si>
    <t>Robo_Input_00</t>
  </si>
  <si>
    <t>Robo_Input_01</t>
  </si>
  <si>
    <t>Robo_Input_02</t>
  </si>
  <si>
    <t>Robo_Input_03</t>
  </si>
  <si>
    <t>Robo_Input_04</t>
  </si>
  <si>
    <t>Robo_Input_05</t>
  </si>
  <si>
    <t>Robo_Input_06</t>
  </si>
  <si>
    <t>Robo_Input_07</t>
  </si>
  <si>
    <t>Robo_Input_08</t>
  </si>
  <si>
    <t>Robo_Input_09</t>
  </si>
  <si>
    <t>Robo_Input_10</t>
  </si>
  <si>
    <t>Robo_Input_11</t>
  </si>
  <si>
    <t>Robo_Input_12</t>
  </si>
  <si>
    <t>Robo_Input_13</t>
  </si>
  <si>
    <t>Robo_Input_14</t>
  </si>
  <si>
    <t>Robo_Input_15</t>
  </si>
  <si>
    <t>Robo_Output_00</t>
  </si>
  <si>
    <t>Robo_Output_01</t>
  </si>
  <si>
    <t>Robo_Output_02</t>
  </si>
  <si>
    <t>Robo_Output_03</t>
  </si>
  <si>
    <t>Robo_Output_04</t>
  </si>
  <si>
    <t>Robo_Output_05</t>
  </si>
  <si>
    <t>Robo_Output_06</t>
  </si>
  <si>
    <t>Robo_Output_07</t>
  </si>
  <si>
    <t>Robo_Output_08</t>
  </si>
  <si>
    <t>Robo_Output_09</t>
  </si>
  <si>
    <t>Robo_Output_10</t>
  </si>
  <si>
    <t>Robo_Output_11</t>
  </si>
  <si>
    <t>Robo_Output_12</t>
  </si>
  <si>
    <t>Robo_Output_13</t>
  </si>
  <si>
    <t>Robo_Output_14</t>
  </si>
  <si>
    <t>Robo_Output_15</t>
  </si>
  <si>
    <t>MCM (Tool1) --&gt; 2 Conector (1x5pin e 1x4Pin) / 4+1 Poti / 2cil Potis/ 4cil Lock;</t>
  </si>
  <si>
    <t xml:space="preserve">IKM700 (Tool2) --&gt; 1 Conector (1x5Pin) / 8+1 Poti / 4cil Potis/  4cil Lock; </t>
  </si>
  <si>
    <t xml:space="preserve">IKM200 (Tool3) --&gt; 1 Conector (1x5Pin) / 5+1 Poti / 3cil Potis/  4cil Lock; </t>
  </si>
  <si>
    <t>Signal_Tower_GN</t>
  </si>
  <si>
    <t>Signal_Tower_YE</t>
  </si>
  <si>
    <t>Signal_Tower_RD</t>
  </si>
  <si>
    <t>E3T-SL13M 2M</t>
  </si>
  <si>
    <t>PNP|5-15mm|2m</t>
  </si>
  <si>
    <t>PLC</t>
  </si>
  <si>
    <t>Preh</t>
  </si>
  <si>
    <t>Controlar</t>
  </si>
  <si>
    <t>1xScanner Datalogic(Matrix 120 210-010) na Estrutura;</t>
  </si>
  <si>
    <t>2xScanner Datalogic(Matrix 120 210-010) na Estrutura;</t>
  </si>
  <si>
    <t>3xScanner Datalogic(Matrix 120 210-010) na Estrutura;</t>
  </si>
  <si>
    <t>4xScanner Datalogic(Matrix 120 210-010) na Estrutura;</t>
  </si>
  <si>
    <t>5xScanner Datalogic(Matrix 120 210-010) na Estrutura;</t>
  </si>
  <si>
    <t>1xScanner Datalogic(Matrix 120 210-010)</t>
  </si>
  <si>
    <t>Scanners Gaveta/Jig?</t>
  </si>
  <si>
    <t>NX102-9020 (Omron)</t>
  </si>
  <si>
    <t>HMI Omron (NB10W-TW01B) (HMI 10.1'', TFT LCD, Color, 800×480 dots, USB Host, Ethernet, 20.4..27.6Vdc, 14W);</t>
  </si>
  <si>
    <t>1xScanner Datalogic(Matrix 120 210-010) na Gaveta/Jig;</t>
  </si>
  <si>
    <t>2xScanner Datalogic(Matrix 120 210-010) na Gaveta/Jig;</t>
  </si>
  <si>
    <t>3xScanner Datalogic(Matrix 120 210-010) na Gaveta/Jig;</t>
  </si>
  <si>
    <t>4xScanner Datalogic(Matrix 120 210-010) na Gaveta/Jig;</t>
  </si>
  <si>
    <t>5xScanner Datalogic(Matrix 120 210-010) na Gaveta/Jig;</t>
  </si>
  <si>
    <t>Duvidas - Cliente</t>
  </si>
  <si>
    <t>Omron [NX-ID5442]</t>
  </si>
  <si>
    <t>Omron [NX-OD5256]</t>
  </si>
  <si>
    <t>HMI</t>
  </si>
  <si>
    <t>Scanner 2</t>
  </si>
  <si>
    <t>Scanner 1</t>
  </si>
  <si>
    <t>Vision</t>
  </si>
  <si>
    <t>Datalogic</t>
  </si>
  <si>
    <t>CONSUMOS MAX. 24VDC:</t>
  </si>
  <si>
    <t>DW-AS-623-M8-001</t>
  </si>
  <si>
    <t>DW-AD-623-M8-122</t>
  </si>
  <si>
    <t>DW-AS-623-M8-123</t>
  </si>
  <si>
    <t>M5|PNP|0,8mm|2m|18mm</t>
  </si>
  <si>
    <t>M5|PNP|0,8mm|M8|18mm</t>
  </si>
  <si>
    <t>M5|PNP|1,5mm|2m|18mm</t>
  </si>
  <si>
    <t>M5|PNP|1,5mm|M8|18mm</t>
  </si>
  <si>
    <t>DW-AS-623-M12</t>
  </si>
  <si>
    <t>M12|PNP|4mm|M12|60mm</t>
  </si>
  <si>
    <t>M12 3P</t>
  </si>
  <si>
    <t>M8|PNP|2mm|M8|32mm</t>
  </si>
  <si>
    <t>M8|PNP|2mm|2m|30mm</t>
  </si>
  <si>
    <t>DW-AD-623-C8</t>
  </si>
  <si>
    <t>Indutivo 8x8(C8), PNP NO, Sn 2 mm, embutido, comp. 37x8 mm, cabo 2m</t>
  </si>
  <si>
    <t>C8(8x8)|2mm|2m|37x8</t>
  </si>
  <si>
    <t>M8|PNP|2mm|M8|45mm</t>
  </si>
  <si>
    <t>Picking Sensor</t>
  </si>
  <si>
    <t>Button_Abastecer</t>
  </si>
  <si>
    <t>Signal_Tower_BU_Signal_Abastecer</t>
  </si>
  <si>
    <t>Luminária - 850mm</t>
  </si>
  <si>
    <t>Alimentação da Maquina - em cima no canto esquerdo - visto da traseira:</t>
  </si>
  <si>
    <t>Q.E.: 600x600x210 (a*l*p) Eldon;</t>
  </si>
  <si>
    <t>1xScanner Datalogic(Matrix 220 345-010) na Gaveta/Jig;</t>
  </si>
  <si>
    <t>2xScanner Datalogic(Matrix 220 345-010) na Gaveta/Jig;</t>
  </si>
  <si>
    <t>3xScanner Datalogic(Matrix 220 345-010) na Gaveta/Jig;</t>
  </si>
  <si>
    <t>4xScanner Datalogic(Matrix 220 345-010) na Gaveta/Jig;</t>
  </si>
  <si>
    <t>5xScanner Datalogic(Matrix 220 345-010) na Gaveta/Jig;</t>
  </si>
  <si>
    <t>1xScanner Datalogic(Matrix 220 345-010) na Estrutura;</t>
  </si>
  <si>
    <t>2xScanner Datalogic(Matrix 220 345-010) na Estrutura;</t>
  </si>
  <si>
    <t>3xScanner Datalogic(Matrix 220 345-010) na Estrutura;</t>
  </si>
  <si>
    <t>4xScanner Datalogic(Matrix 220 345-010) na Estrutura;</t>
  </si>
  <si>
    <t>5xScanner Datalogic(Matrix 220 345-010) na Estrutura;</t>
  </si>
  <si>
    <t>1xScanner Datalogic(Matrix 220 345-010)</t>
  </si>
  <si>
    <t>NX1P2-9024DT1
NX1P Machine Controller, 14/10 E/S Transístor (PNP), 4 eixos PTP</t>
  </si>
  <si>
    <t>Omron [NX1P2-9024DT1] 14DI/10DO</t>
  </si>
  <si>
    <t>QE 600x800x300 MAS0608030R5 - cabos por tras em baixo - filtro e ventilador nas portas</t>
  </si>
  <si>
    <t>AI20</t>
  </si>
  <si>
    <t>AI21</t>
  </si>
  <si>
    <t>AI22</t>
  </si>
  <si>
    <t>AI23</t>
  </si>
  <si>
    <t>AO20</t>
  </si>
  <si>
    <t>AO21</t>
  </si>
  <si>
    <t>AO22</t>
  </si>
  <si>
    <t>AO23</t>
  </si>
  <si>
    <t>D-M9PSAPC-595</t>
  </si>
  <si>
    <t>PNP|SOLID-STATE|0,2m</t>
  </si>
  <si>
    <t>Com 1 bucin para cabo alimentação (3m) e 1 ficha de rede: local network</t>
  </si>
  <si>
    <t>Tubo</t>
  </si>
  <si>
    <t>Monitor touch ASUS 22'' (VT229H IPS); Computador Industrial (PRD0000502 c/ disco 240Gb); Smart UPS APC (SC450RMI1U);</t>
  </si>
  <si>
    <t>Y3</t>
  </si>
  <si>
    <t>E3T-ST13M 2M</t>
  </si>
  <si>
    <t>Barreira|1m|2m</t>
  </si>
  <si>
    <t>2xEixo elétrico iAi na Gaveta;</t>
  </si>
  <si>
    <t>Relay_Machine_Light</t>
  </si>
  <si>
    <t>Button_Machine_Light</t>
  </si>
  <si>
    <t>Omron
[NX-AD4603]</t>
  </si>
  <si>
    <t>Button_OK_FC</t>
  </si>
  <si>
    <t>Button_NOK_FC</t>
  </si>
  <si>
    <t>Det_Part_L_FC</t>
  </si>
  <si>
    <t>Det_Part_R_FC</t>
  </si>
  <si>
    <t>Button_OK_LC</t>
  </si>
  <si>
    <t>Button_NOK_LC</t>
  </si>
  <si>
    <t>Referências
Cylindros</t>
  </si>
  <si>
    <t>Sol_Cyl_Insert_Collar_1_W_FC</t>
  </si>
  <si>
    <t>Y5</t>
  </si>
  <si>
    <t>Y7</t>
  </si>
  <si>
    <t>Y9</t>
  </si>
  <si>
    <t>Y12</t>
  </si>
  <si>
    <t>Y14</t>
  </si>
  <si>
    <t>Y16</t>
  </si>
  <si>
    <t>Y2</t>
  </si>
  <si>
    <t>Valves</t>
  </si>
  <si>
    <t>Cilindros</t>
  </si>
  <si>
    <t>Qtd</t>
  </si>
  <si>
    <t>Regulador</t>
  </si>
  <si>
    <t>Segurança</t>
  </si>
  <si>
    <t xml:space="preserve">Barreira </t>
  </si>
  <si>
    <t>Bloco nº/posição</t>
  </si>
  <si>
    <t>Orientação</t>
  </si>
  <si>
    <t>Lock_Part_W_FC</t>
  </si>
  <si>
    <t>1/2</t>
  </si>
  <si>
    <t>Standard</t>
  </si>
  <si>
    <t>Ref</t>
  </si>
  <si>
    <t xml:space="preserve">Barreira/Magnético </t>
  </si>
  <si>
    <t>Invertido</t>
  </si>
  <si>
    <t>ref acessorio XXXX</t>
  </si>
  <si>
    <t>Necessário</t>
  </si>
  <si>
    <t>Equip. Proteção</t>
  </si>
  <si>
    <t>https://www.smc.eu/portal_ssl/WebContent/main/index_restyling.jsp?is_main=yes&amp;lang=en&amp;ctry=EU</t>
  </si>
  <si>
    <t>1/1</t>
  </si>
  <si>
    <t>leva portas de manutenção mas não é necessario interlock</t>
  </si>
  <si>
    <t>descontinuado pelo D-A93SAPC</t>
  </si>
  <si>
    <t>D-A93SAPC</t>
  </si>
  <si>
    <t>REED|0,5m</t>
  </si>
  <si>
    <t>custa 13,86euros</t>
  </si>
  <si>
    <t>D-M9PSAPC</t>
  </si>
  <si>
    <t>custa 19,72euros</t>
  </si>
  <si>
    <t>Gaveta_FC</t>
  </si>
  <si>
    <t>Gaveta_LC</t>
  </si>
  <si>
    <t>Cyl_Insert_FC</t>
  </si>
  <si>
    <t>Cyl_Insert_LC</t>
  </si>
  <si>
    <t>EMG</t>
  </si>
  <si>
    <t>Q0</t>
  </si>
  <si>
    <t>Q1</t>
  </si>
  <si>
    <t>Q2</t>
  </si>
  <si>
    <t>Safety_Barrier_Reset_FC</t>
  </si>
  <si>
    <t>Safety_Barrier_Reset_LC</t>
  </si>
  <si>
    <t>Mov Robo e cilindros de Inserção (ambos) - protegidos pelas barreiras da #FC e das barreiras da #LC</t>
  </si>
  <si>
    <t>Mov da Gaveta #LC - protegido pela Barreira de fora #LC</t>
  </si>
  <si>
    <t>Mov da Gaveta #FC - protegido pela Barreira de fora #FC</t>
  </si>
  <si>
    <t>Circuito de Segurança:  Botão de EMG - UTA + Robo + Backlights</t>
  </si>
  <si>
    <t>PRJ19.0010.6.4</t>
  </si>
  <si>
    <t>LG HV BDU Assembly Line - ST4</t>
  </si>
  <si>
    <t>LC     |      FC</t>
  </si>
  <si>
    <t>Det_Part_LC</t>
  </si>
  <si>
    <t>Det_Part_Hight_LC</t>
  </si>
  <si>
    <t>Cyl_Lock_Part_H_FC</t>
  </si>
  <si>
    <t>Cyl_Lock_Part_W_FC</t>
  </si>
  <si>
    <t>Cyl_Elevation_H_FC</t>
  </si>
  <si>
    <t>Cyl_Elevation_W_FC</t>
  </si>
  <si>
    <t>Cyl_Plate_H_LC</t>
  </si>
  <si>
    <t>Cyl_Plate_W_LC</t>
  </si>
  <si>
    <t>Cyl_Rejection_Box_W_LC</t>
  </si>
  <si>
    <t>Cyl_Rejection_Box_H_LC</t>
  </si>
  <si>
    <t>Button_Conveyor_LC</t>
  </si>
  <si>
    <t>Poti1_Secondary_Lock_1_LC</t>
  </si>
  <si>
    <t>Poti2_Secondary_Lock_2_LC</t>
  </si>
  <si>
    <t>Poti3_Secondary_Lock_3_LC</t>
  </si>
  <si>
    <t>Poti4_Secondary_Lock_4_LC</t>
  </si>
  <si>
    <t>Poti5_Secondary_Lock_5_LC</t>
  </si>
  <si>
    <t>Poti6_Secondary_Lock_6_LC</t>
  </si>
  <si>
    <t>Poti7_Secondary_Lock_7_LC</t>
  </si>
  <si>
    <t>Poti8_Secondary_Lock_8_LC</t>
  </si>
  <si>
    <t>AI24</t>
  </si>
  <si>
    <t>AI25</t>
  </si>
  <si>
    <t>AI26</t>
  </si>
  <si>
    <t>AI27</t>
  </si>
  <si>
    <t>AI28</t>
  </si>
  <si>
    <t>AI29</t>
  </si>
  <si>
    <t>AI30</t>
  </si>
  <si>
    <t>AI31</t>
  </si>
  <si>
    <t>AI32</t>
  </si>
  <si>
    <t>AI33</t>
  </si>
  <si>
    <t>AI34</t>
  </si>
  <si>
    <t>AI35</t>
  </si>
  <si>
    <t>AI36</t>
  </si>
  <si>
    <t>AI37</t>
  </si>
  <si>
    <t>AI38</t>
  </si>
  <si>
    <t>AI39</t>
  </si>
  <si>
    <t>Poti9_Secondary_Lock_9_LC</t>
  </si>
  <si>
    <t>Poti10_Secondary_Lock_10_LC</t>
  </si>
  <si>
    <t>E3Z-T87</t>
  </si>
  <si>
    <t>E3Z-LT86</t>
  </si>
  <si>
    <t>Barreira|30m</t>
  </si>
  <si>
    <t>PNP|Laser|Barreira|M8|4P|60m</t>
  </si>
  <si>
    <t>Det_Part_Pos_Int_LC</t>
  </si>
  <si>
    <t>Det_Part_Pos_Inf_LC</t>
  </si>
  <si>
    <t>Det_Part_Conveyor_Begin_LC</t>
  </si>
  <si>
    <t>Det_Part_Conveyor_End_LC</t>
  </si>
  <si>
    <t>Cyl_Elevation_H_LC</t>
  </si>
  <si>
    <t>Cyl_Elevation_W_LC</t>
  </si>
  <si>
    <t>ST4 - Secondary lock insertion machine for Fuse and Lower cove</t>
  </si>
  <si>
    <t>Y6</t>
  </si>
  <si>
    <t>Conveyor_NOK</t>
  </si>
  <si>
    <t>Conveyor_On</t>
  </si>
  <si>
    <t>Rejection_Door_Close_FC</t>
  </si>
  <si>
    <t>Rejection_Door_Close_LC</t>
  </si>
  <si>
    <t>AO24</t>
  </si>
  <si>
    <t>AO25</t>
  </si>
  <si>
    <t>AO26</t>
  </si>
  <si>
    <t>AO27</t>
  </si>
  <si>
    <t>AO28</t>
  </si>
  <si>
    <t>AO29</t>
  </si>
  <si>
    <t>AO30</t>
  </si>
  <si>
    <t>AO31</t>
  </si>
  <si>
    <t>AO32</t>
  </si>
  <si>
    <t>AO33</t>
  </si>
  <si>
    <t>AO34</t>
  </si>
  <si>
    <t>AO35</t>
  </si>
  <si>
    <t>AO36</t>
  </si>
  <si>
    <t>AO37</t>
  </si>
  <si>
    <t>AO38</t>
  </si>
  <si>
    <t>AO39</t>
  </si>
  <si>
    <t>Poti11_Secondary_Lock_11_LC</t>
  </si>
  <si>
    <t>Poti12_Secondary_Lock_12_LC</t>
  </si>
  <si>
    <t>Poti13_Secondary_Lock_13_LC</t>
  </si>
  <si>
    <t>Poti14_Secondary_Lock_14_LC</t>
  </si>
  <si>
    <t>Poti15_Secondary_Lock_15_LC</t>
  </si>
  <si>
    <t>Poti16_Secondary_Lock_16_LC</t>
  </si>
  <si>
    <t>Poti17_Secondary_Lock_17_LC</t>
  </si>
  <si>
    <t>Poti18_Secondary_Lock_18_LC</t>
  </si>
  <si>
    <t>Poti19_Secondary_Lock_19_LC</t>
  </si>
  <si>
    <t>Poti20_Secondary_Lock_20_LC</t>
  </si>
  <si>
    <t>RCP6-SA6C-WA-42P-20-800-P3-M; PCON-CB-42PWAI-EP-0-0; CB-RCB-CTL002; CB-485-ECO018</t>
  </si>
  <si>
    <t>1xScanner Datalogic(Matrix 120 210-010) na Gaveta;</t>
  </si>
  <si>
    <t>Fuse Cover</t>
  </si>
  <si>
    <t>Poti30_Secondary_Lock_10_FC</t>
  </si>
  <si>
    <t>Poti29_Secondary_Lock_9_FC</t>
  </si>
  <si>
    <t>Poti21_Secondary_Lock_1_FC</t>
  </si>
  <si>
    <t>Poti22_Secondary_Lock_2_FC</t>
  </si>
  <si>
    <t>Poti23_Secondary_Lock_3_FC</t>
  </si>
  <si>
    <t>Poti27_Secondary_Lock_7_FC</t>
  </si>
  <si>
    <t>Poti26_Secondary_Lock_6_FC</t>
  </si>
  <si>
    <t>Poti25_Secondary_Lock_5_FC</t>
  </si>
  <si>
    <t>Poti24_Secondary_Lock_4_FC</t>
  </si>
  <si>
    <t>Poti28_Secondary_Lock_8_FC</t>
  </si>
  <si>
    <t>Safety_Circuit_OK</t>
  </si>
  <si>
    <t>Safety_Barrier_OK_FC</t>
  </si>
  <si>
    <t>Safety_Barrier_OK_LC</t>
  </si>
  <si>
    <t>Y18</t>
  </si>
  <si>
    <t>Sol_Cyl_Lock_Part_W_FC</t>
  </si>
  <si>
    <t>Sol_Cyl_Plate_W_LC</t>
  </si>
  <si>
    <t>Sol_Cyl_Plate_W_FC</t>
  </si>
  <si>
    <t>Sol_Cyl_Rejection_Box_W_LC</t>
  </si>
  <si>
    <t>Sol_Cyl_Rejection_Box_H_LC</t>
  </si>
  <si>
    <t>Sol_Cyl_Rejection_Box_W_FC</t>
  </si>
  <si>
    <t>Sol_Cyl_Rejection_Box_H_FC</t>
  </si>
  <si>
    <t>Sol_Cyl_Elevation_W_FC</t>
  </si>
  <si>
    <t>Sol_Cyl_Elevation_H_FC</t>
  </si>
  <si>
    <t>Sol_Cyl_Elevation_W_LC</t>
  </si>
  <si>
    <t>Sol_Cyl_Elevation_H_LC</t>
  </si>
  <si>
    <t>revB1</t>
  </si>
  <si>
    <t>Feeder_Part_F_Active_Ch1</t>
  </si>
  <si>
    <t>Feeder_Part_F_Active_Ch2</t>
  </si>
  <si>
    <t>Feeder_Part_F_Active_Ch3</t>
  </si>
  <si>
    <t>Feeder_Part_F_Ready</t>
  </si>
  <si>
    <t>Feeder_Part_F_Part_Ready</t>
  </si>
  <si>
    <t>Feeder_Part_F_Release_Ch1</t>
  </si>
  <si>
    <t>Feeder_Part_F_Release_Ch2</t>
  </si>
  <si>
    <t>Feeder_Part_F_Release_Ch3</t>
  </si>
  <si>
    <t>1xScanner Datalogic(Matrix 120 210-010) na  Máquina;</t>
  </si>
  <si>
    <t>correcao a nome de part feeder; ref de controlador de feeder passa para 2002; referencias de pneumatico; apenas 2 scanners</t>
  </si>
  <si>
    <t>CD85N12-190-B; C85 XAx-ISO Standard Air Cylinder</t>
  </si>
  <si>
    <t>MXQ6-10; MXQ-with Recirculating Linear Guide</t>
  </si>
  <si>
    <t>MGPL25TN-75Z; MGP Compact Guide Cylinder</t>
  </si>
  <si>
    <t>MY1B25-400LZ; MY1B-Z-Mechanically Jointed Rodless</t>
  </si>
  <si>
    <t>CD55B32-100M;  C55/CD55-ISO Standards Compact Cylinder</t>
  </si>
  <si>
    <t>MGPL32-50AZ-XC8; MGP-Z XC8/XC9-Compact Guide Cylinder/Adjustable Stroke Cylinder</t>
  </si>
  <si>
    <t>GIMATIC; OFR20-95SM</t>
  </si>
  <si>
    <t>SV3300-5FUD</t>
  </si>
  <si>
    <t>SY3300-5U1</t>
  </si>
  <si>
    <t>Bi - cilindros fechados</t>
  </si>
  <si>
    <t>RF</t>
  </si>
  <si>
    <r>
      <rPr>
        <sz val="9"/>
        <rFont val="Arial"/>
        <family val="2"/>
      </rPr>
      <t xml:space="preserve">1x Painel Frontal com HMI +  Botão Rearme + BotãoSinalizador Azul "Abastecer" + Botão Preto "Luminária";
1x Painel com Emergência + Botões OK + NOK
1x Robot Epson RS4-551S + 1x Controlador Epson RC-700-A com cabo 3m; 1x EtherNet/IP Board for RC700/RC90; 
1x Gripper Pneumático Shunk MPG 50;  2x Sensor Proximidade Shunk IN 40/S-M12; 
</t>
    </r>
    <r>
      <rPr>
        <sz val="9"/>
        <color rgb="FFFF0000"/>
        <rFont val="Arial"/>
        <family val="2"/>
      </rPr>
      <t xml:space="preserve">
</t>
    </r>
    <r>
      <rPr>
        <sz val="9"/>
        <rFont val="Arial"/>
        <family val="2"/>
      </rPr>
      <t>Para a peça F --&gt; 1x Alimentador Vibratório composto por -- &gt; 1xImpulsor Modelo SRC-N 250-2; 1x Cuba ZSB-ZA 250(338)-30-140.1R; 1x Equipamento de Comando ESK-2002; 1x Transportador Linear SLL 400-S CON Perfil 400; 1x Cabine Isolamento Acústico INE-40 SL;</t>
    </r>
    <r>
      <rPr>
        <sz val="9"/>
        <color rgb="FFFF0000"/>
        <rFont val="Arial"/>
        <family val="2"/>
      </rPr>
      <t xml:space="preserve">
</t>
    </r>
    <r>
      <rPr>
        <sz val="9"/>
        <rFont val="Arial"/>
        <family val="2"/>
      </rPr>
      <t xml:space="preserve">Conveyor - misumi Timing Belt Conveyors: CVGTP-150-1700-25-TA230-SCM-18-S-B-SCB-ANT6-Q12-M5; 
</t>
    </r>
    <r>
      <rPr>
        <sz val="9"/>
        <color rgb="FFFF0000"/>
        <rFont val="Arial"/>
        <family val="2"/>
      </rPr>
      <t xml:space="preserve">
</t>
    </r>
    <r>
      <rPr>
        <sz val="9"/>
        <rFont val="Arial"/>
        <family val="2"/>
      </rPr>
      <t>1x Switch rede 16portas na maq - D-LINK  DGS1016D;</t>
    </r>
  </si>
  <si>
    <t>revB2</t>
  </si>
  <si>
    <t>correção ao tipo de algumas valves bi centros fechados</t>
  </si>
  <si>
    <t>Signal_OK_NOK(In2_In1)_FC</t>
  </si>
  <si>
    <t>Signal_OK_NOK(In2_In1)_LC</t>
  </si>
  <si>
    <t>Signal_OK(In1)_FC</t>
  </si>
  <si>
    <t>Signal_OK(In1)_LC</t>
  </si>
  <si>
    <t>Signal_NOK(In2)_FC</t>
  </si>
  <si>
    <t>Signal_NOK(In2)_LC</t>
  </si>
  <si>
    <t>revB3</t>
  </si>
  <si>
    <t>DO para se conseguir activar a cor amarela de ambos os sinalizadores OKNOK</t>
  </si>
  <si>
    <t>E3Z-LS86</t>
  </si>
  <si>
    <t>PNP|0-200mm|M8 4P</t>
  </si>
  <si>
    <t>Man_Door_Open_FC</t>
  </si>
  <si>
    <t>Man_Door_Open_LC</t>
  </si>
  <si>
    <t>Cyl_Plate_H_FC</t>
  </si>
  <si>
    <t>Cyl_Plate_W_FC</t>
  </si>
  <si>
    <t>Cyl_Rejection_Box_H_FC</t>
  </si>
  <si>
    <t>Cyl_Rejection_Box_W_FC</t>
  </si>
  <si>
    <t>D-A93SAPC | BJ2-012 | BJ3-1</t>
  </si>
  <si>
    <t>D-A93SAPC | BMY3-016</t>
  </si>
  <si>
    <t>SS3N203-G; Gimatic</t>
  </si>
  <si>
    <t>revB4</t>
  </si>
  <si>
    <t>alteração de ref de sensores de bloquei peça</t>
  </si>
  <si>
    <t>revB5</t>
  </si>
  <si>
    <t>valvula de gripper passa a ser controlada pelo controlador do Robo</t>
  </si>
  <si>
    <t>revB6</t>
  </si>
  <si>
    <t>Adicionar inserção de sensor de buffer</t>
  </si>
  <si>
    <t>Lower Cover</t>
  </si>
  <si>
    <t>E3T-ST13 2M</t>
  </si>
  <si>
    <t>rev0</t>
  </si>
  <si>
    <t>Criar revisão 0</t>
  </si>
  <si>
    <t>Feeder_Part_F_Part_Buffer_A_Out</t>
  </si>
  <si>
    <t>Feeder_Part_F_Part_Buffer_B_Out</t>
  </si>
  <si>
    <t>rev0.1</t>
  </si>
  <si>
    <t xml:space="preserve">Adicionar inserção de sensor de buffer B OUT </t>
  </si>
  <si>
    <t>Sol_Cyl_Mov_W_Potis_W_LC</t>
  </si>
  <si>
    <t>Sol_Cyl_Mov_W_Potis_W_FC</t>
  </si>
  <si>
    <t>Cyl_Mov_H_Insertion_H_FC</t>
  </si>
  <si>
    <t>Cyl_Mov_H_Insertion_W_FC</t>
  </si>
  <si>
    <t>Cyl_Mov_V_Insertion_H_FC</t>
  </si>
  <si>
    <t>Cyl_Mov_V_Insertion_W_FC</t>
  </si>
  <si>
    <t>Cyl_Mov_H_Insertion_H_LC</t>
  </si>
  <si>
    <t>Cyl_Mov_H_Insertion_W_LC</t>
  </si>
  <si>
    <t>Cyl_Mov_V_Insertion_H_LC</t>
  </si>
  <si>
    <t>Cyl_Mov_V_Insertion_W_LC</t>
  </si>
  <si>
    <t>Cyl_Mov1_V_Potis_H_LC</t>
  </si>
  <si>
    <t>Cyl_Mov1_V_Potis_W_LC</t>
  </si>
  <si>
    <t>Cyl_Mov2_V_Potis_H_LC</t>
  </si>
  <si>
    <t>Cyl_Mov2_V_Potis_W_LC</t>
  </si>
  <si>
    <t>Cyl_Mov1_V_Potis_H_FC</t>
  </si>
  <si>
    <t>Cyl_Mov1_V_Potis_W_FC</t>
  </si>
  <si>
    <t>Sol_Cyl_Mov_H_Insertion_W_LC</t>
  </si>
  <si>
    <t>Sol_Cyl_Mov_H_Insertion_H_LC</t>
  </si>
  <si>
    <t>Sol_Cyl_Mov_V_Insertion_W_LC</t>
  </si>
  <si>
    <t>Sol_Cyl_Mov_H_Insertion_W_FC</t>
  </si>
  <si>
    <t>Sol_Cyl_Mov_H_Insertion_H_FC</t>
  </si>
  <si>
    <t>Sol_Cyl_Mov_V_Insertion_W_FC</t>
  </si>
  <si>
    <t>Y20</t>
  </si>
  <si>
    <t>Y21</t>
  </si>
  <si>
    <t>rev0.2</t>
  </si>
  <si>
    <t>a medição dos potis será feita apos a cravação dos Secondary Locks - Inserção de cilindros nos potis de forma a medir independente da cravação</t>
  </si>
  <si>
    <t>End_IO</t>
  </si>
  <si>
    <t>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</si>
</sst>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0\ &quot;€&quot;"/>
  </numFmts>
  <fonts count="3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b/>
      <sz val="8"/>
      <name val="Arial"/>
      <family val="2"/>
    </font>
    <font>
      <b/>
      <sz val="16"/>
      <name val="Arial"/>
      <family val="2"/>
    </font>
    <font>
      <sz val="6"/>
      <name val="Arial"/>
      <family val="2"/>
    </font>
    <font>
      <sz val="10"/>
      <color rgb="FFFF0000"/>
      <name val="Arial"/>
      <family val="2"/>
    </font>
    <font>
      <i/>
      <sz val="10"/>
      <color indexed="17"/>
      <name val="Arial"/>
      <family val="2"/>
    </font>
    <font>
      <u/>
      <sz val="10"/>
      <name val="Arial"/>
      <family val="2"/>
    </font>
    <font>
      <b/>
      <sz val="10"/>
      <color rgb="FFFF0000"/>
      <name val="Arial"/>
      <family val="2"/>
    </font>
    <font>
      <sz val="7"/>
      <name val="Arial"/>
      <family val="2"/>
    </font>
    <font>
      <b/>
      <u/>
      <sz val="8"/>
      <name val="Arial"/>
      <family val="2"/>
    </font>
    <font>
      <b/>
      <u/>
      <sz val="10"/>
      <name val="Arial"/>
      <family val="2"/>
    </font>
    <font>
      <b/>
      <sz val="8"/>
      <color rgb="FF00B050"/>
      <name val="Arial"/>
      <family val="2"/>
    </font>
    <font>
      <b/>
      <sz val="8"/>
      <color rgb="FFFF0000"/>
      <name val="Arial"/>
      <family val="2"/>
    </font>
    <font>
      <b/>
      <sz val="9"/>
      <name val="Arial"/>
      <family val="2"/>
    </font>
    <font>
      <sz val="8"/>
      <color rgb="FFFF0000"/>
      <name val="Arial"/>
      <family val="2"/>
    </font>
    <font>
      <sz val="6"/>
      <color rgb="FFFF0000"/>
      <name val="Arial"/>
      <family val="2"/>
    </font>
    <font>
      <i/>
      <sz val="10"/>
      <color rgb="FFFF0000"/>
      <name val="Arial"/>
      <family val="2"/>
    </font>
    <font>
      <sz val="11"/>
      <name val="Calibri"/>
      <family val="2"/>
    </font>
    <font>
      <strike/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theme="10"/>
      <name val="Arial"/>
      <family val="2"/>
    </font>
    <font>
      <strike/>
      <sz val="8"/>
      <name val="Arial"/>
      <family val="2"/>
    </font>
    <font>
      <sz val="9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27" fillId="0" borderId="0" applyNumberFormat="0" applyFill="0" applyBorder="0" applyAlignment="0" applyProtection="0"/>
  </cellStyleXfs>
  <cellXfs count="757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/>
    <xf numFmtId="0" fontId="3" fillId="0" borderId="0" xfId="0" applyFont="1" applyFill="1"/>
    <xf numFmtId="0" fontId="5" fillId="0" borderId="0" xfId="0" applyFont="1" applyAlignment="1">
      <alignment horizontal="center"/>
    </xf>
    <xf numFmtId="0" fontId="0" fillId="0" borderId="0" xfId="0" applyFill="1"/>
    <xf numFmtId="0" fontId="1" fillId="0" borderId="4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0" fontId="3" fillId="0" borderId="40" xfId="0" applyFont="1" applyBorder="1"/>
    <xf numFmtId="0" fontId="1" fillId="0" borderId="9" xfId="0" applyFont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0" fontId="1" fillId="3" borderId="3" xfId="2" applyFont="1" applyFill="1" applyBorder="1" applyAlignment="1">
      <alignment horizontal="center"/>
    </xf>
    <xf numFmtId="0" fontId="1" fillId="3" borderId="5" xfId="2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0" borderId="56" xfId="0" applyBorder="1"/>
    <xf numFmtId="0" fontId="1" fillId="0" borderId="29" xfId="0" applyFont="1" applyBorder="1" applyAlignment="1" applyProtection="1">
      <alignment horizontal="center"/>
      <protection locked="0"/>
    </xf>
    <xf numFmtId="0" fontId="1" fillId="0" borderId="41" xfId="0" applyFont="1" applyBorder="1" applyAlignment="1" applyProtection="1">
      <alignment horizontal="center"/>
      <protection locked="0"/>
    </xf>
    <xf numFmtId="0" fontId="1" fillId="0" borderId="30" xfId="0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32" xfId="0" applyFont="1" applyBorder="1" applyAlignment="1" applyProtection="1">
      <alignment horizontal="center"/>
      <protection locked="0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6" xfId="0" applyFont="1" applyBorder="1" applyAlignment="1" applyProtection="1">
      <alignment horizontal="center" vertical="center"/>
      <protection locked="0"/>
    </xf>
    <xf numFmtId="0" fontId="1" fillId="0" borderId="29" xfId="0" applyFont="1" applyBorder="1" applyAlignment="1" applyProtection="1">
      <alignment horizontal="center" vertical="center"/>
      <protection locked="0"/>
    </xf>
    <xf numFmtId="0" fontId="1" fillId="0" borderId="0" xfId="0" applyFont="1"/>
    <xf numFmtId="0" fontId="5" fillId="0" borderId="0" xfId="0" applyFont="1" applyFill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3" fillId="0" borderId="0" xfId="0" applyFont="1" applyFill="1" applyProtection="1">
      <protection locked="0"/>
    </xf>
    <xf numFmtId="0" fontId="1" fillId="0" borderId="0" xfId="0" applyFont="1" applyBorder="1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>
      <alignment vertical="center"/>
    </xf>
    <xf numFmtId="0" fontId="1" fillId="0" borderId="0" xfId="0" applyFont="1" applyAlignment="1" applyProtection="1">
      <alignment vertical="center"/>
      <protection locked="0"/>
    </xf>
    <xf numFmtId="0" fontId="1" fillId="0" borderId="16" xfId="0" applyFont="1" applyBorder="1" applyAlignment="1" applyProtection="1">
      <alignment horizontal="center"/>
      <protection locked="0"/>
    </xf>
    <xf numFmtId="0" fontId="1" fillId="0" borderId="11" xfId="0" applyFont="1" applyFill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36" xfId="0" applyFont="1" applyBorder="1" applyAlignment="1" applyProtection="1">
      <alignment horizontal="center"/>
      <protection locked="0"/>
    </xf>
    <xf numFmtId="0" fontId="1" fillId="0" borderId="12" xfId="0" applyFont="1" applyFill="1" applyBorder="1" applyAlignment="1">
      <alignment horizontal="center"/>
    </xf>
    <xf numFmtId="0" fontId="1" fillId="0" borderId="0" xfId="0" applyFont="1" applyFill="1"/>
    <xf numFmtId="0" fontId="1" fillId="0" borderId="18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0" xfId="0" applyFont="1" applyFill="1" applyProtection="1">
      <protection locked="0"/>
    </xf>
    <xf numFmtId="0" fontId="1" fillId="0" borderId="33" xfId="0" applyFont="1" applyFill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4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3" borderId="9" xfId="2" applyFont="1" applyFill="1" applyBorder="1" applyAlignment="1">
      <alignment horizontal="center"/>
    </xf>
    <xf numFmtId="0" fontId="1" fillId="3" borderId="10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9" fontId="1" fillId="0" borderId="0" xfId="1" applyFont="1" applyFill="1" applyBorder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15" xfId="0" applyFont="1" applyFill="1" applyBorder="1" applyAlignment="1">
      <alignment horizontal="center"/>
    </xf>
    <xf numFmtId="0" fontId="1" fillId="0" borderId="56" xfId="0" applyFont="1" applyBorder="1" applyProtection="1">
      <protection locked="0"/>
    </xf>
    <xf numFmtId="0" fontId="1" fillId="3" borderId="19" xfId="2" applyFont="1" applyFill="1" applyBorder="1" applyAlignment="1">
      <alignment horizontal="center"/>
    </xf>
    <xf numFmtId="0" fontId="2" fillId="5" borderId="29" xfId="0" applyFont="1" applyFill="1" applyBorder="1" applyAlignment="1">
      <alignment horizontal="center" vertical="center" textRotation="90"/>
    </xf>
    <xf numFmtId="0" fontId="6" fillId="5" borderId="15" xfId="0" applyFont="1" applyFill="1" applyBorder="1" applyAlignment="1">
      <alignment horizontal="center" vertical="center" textRotation="90" wrapText="1"/>
    </xf>
    <xf numFmtId="0" fontId="2" fillId="5" borderId="15" xfId="0" applyFont="1" applyFill="1" applyBorder="1" applyAlignment="1">
      <alignment horizontal="center" vertical="center" textRotation="90"/>
    </xf>
    <xf numFmtId="9" fontId="1" fillId="6" borderId="14" xfId="1" applyFont="1" applyFill="1" applyBorder="1" applyAlignment="1">
      <alignment horizontal="center"/>
    </xf>
    <xf numFmtId="9" fontId="1" fillId="6" borderId="1" xfId="1" applyFont="1" applyFill="1" applyBorder="1" applyAlignment="1">
      <alignment horizontal="center"/>
    </xf>
    <xf numFmtId="0" fontId="7" fillId="0" borderId="46" xfId="0" applyFont="1" applyBorder="1" applyAlignment="1" applyProtection="1">
      <alignment vertical="center" textRotation="90"/>
      <protection locked="0"/>
    </xf>
    <xf numFmtId="0" fontId="7" fillId="0" borderId="39" xfId="0" applyFont="1" applyBorder="1" applyAlignment="1" applyProtection="1">
      <alignment vertical="center" textRotation="90"/>
      <protection locked="0"/>
    </xf>
    <xf numFmtId="0" fontId="7" fillId="0" borderId="44" xfId="0" applyFont="1" applyBorder="1" applyAlignment="1" applyProtection="1">
      <alignment vertical="center" textRotation="90"/>
      <protection locked="0"/>
    </xf>
    <xf numFmtId="0" fontId="1" fillId="4" borderId="30" xfId="2" applyFont="1" applyFill="1" applyBorder="1" applyAlignment="1">
      <alignment horizontal="center"/>
    </xf>
    <xf numFmtId="0" fontId="1" fillId="4" borderId="15" xfId="2" applyFont="1" applyFill="1" applyBorder="1" applyAlignment="1">
      <alignment horizontal="center"/>
    </xf>
    <xf numFmtId="0" fontId="1" fillId="4" borderId="29" xfId="2" applyFont="1" applyFill="1" applyBorder="1" applyAlignment="1">
      <alignment horizontal="center"/>
    </xf>
    <xf numFmtId="0" fontId="1" fillId="4" borderId="8" xfId="2" applyFont="1" applyFill="1" applyBorder="1" applyAlignment="1">
      <alignment horizontal="center"/>
    </xf>
    <xf numFmtId="0" fontId="1" fillId="4" borderId="6" xfId="2" applyFont="1" applyFill="1" applyBorder="1" applyAlignment="1">
      <alignment horizontal="center"/>
    </xf>
    <xf numFmtId="0" fontId="1" fillId="4" borderId="58" xfId="2" applyFont="1" applyFill="1" applyBorder="1" applyAlignment="1">
      <alignment horizontal="center"/>
    </xf>
    <xf numFmtId="0" fontId="1" fillId="4" borderId="42" xfId="2" applyFont="1" applyFill="1" applyBorder="1" applyAlignment="1">
      <alignment horizontal="center"/>
    </xf>
    <xf numFmtId="0" fontId="1" fillId="4" borderId="57" xfId="2" applyFont="1" applyFill="1" applyBorder="1" applyAlignment="1">
      <alignment horizontal="center"/>
    </xf>
    <xf numFmtId="0" fontId="1" fillId="4" borderId="28" xfId="0" applyFont="1" applyFill="1" applyBorder="1" applyAlignment="1"/>
    <xf numFmtId="0" fontId="1" fillId="4" borderId="30" xfId="0" applyFont="1" applyFill="1" applyBorder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0" borderId="57" xfId="0" applyFont="1" applyBorder="1" applyAlignment="1">
      <alignment horizontal="center"/>
    </xf>
    <xf numFmtId="0" fontId="7" fillId="0" borderId="60" xfId="0" applyFont="1" applyBorder="1" applyAlignment="1" applyProtection="1">
      <alignment vertical="center" textRotation="90"/>
      <protection locked="0"/>
    </xf>
    <xf numFmtId="0" fontId="1" fillId="0" borderId="41" xfId="0" applyFont="1" applyBorder="1" applyAlignment="1">
      <alignment horizontal="center"/>
    </xf>
    <xf numFmtId="0" fontId="1" fillId="0" borderId="51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1" fillId="0" borderId="0" xfId="0" applyFont="1" applyFill="1" applyBorder="1" applyAlignment="1" applyProtection="1">
      <protection locked="0"/>
    </xf>
    <xf numFmtId="0" fontId="1" fillId="0" borderId="2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 applyProtection="1">
      <protection locked="0"/>
    </xf>
    <xf numFmtId="0" fontId="1" fillId="0" borderId="0" xfId="0" applyFont="1" applyFill="1" applyBorder="1" applyAlignment="1">
      <alignment vertical="center"/>
    </xf>
    <xf numFmtId="0" fontId="9" fillId="0" borderId="2" xfId="0" applyFont="1" applyBorder="1" applyAlignment="1" applyProtection="1">
      <alignment horizontal="center" vertical="center"/>
      <protection locked="0"/>
    </xf>
    <xf numFmtId="0" fontId="2" fillId="0" borderId="0" xfId="0" applyFont="1"/>
    <xf numFmtId="0" fontId="12" fillId="0" borderId="0" xfId="0" applyFont="1"/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2" fillId="0" borderId="1" xfId="0" applyFont="1" applyBorder="1"/>
    <xf numFmtId="0" fontId="1" fillId="0" borderId="1" xfId="0" applyFont="1" applyBorder="1"/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1" xfId="0" applyFont="1" applyFill="1" applyBorder="1"/>
    <xf numFmtId="0" fontId="2" fillId="0" borderId="0" xfId="0" applyFont="1" applyAlignment="1">
      <alignment horizontal="center" vertical="center"/>
    </xf>
    <xf numFmtId="0" fontId="1" fillId="0" borderId="0" xfId="0" applyFont="1" applyFill="1" applyBorder="1" applyAlignment="1" applyProtection="1">
      <protection locked="0"/>
    </xf>
    <xf numFmtId="0" fontId="1" fillId="0" borderId="32" xfId="0" applyFont="1" applyBorder="1" applyAlignment="1" applyProtection="1">
      <alignment horizontal="center" vertical="center"/>
      <protection locked="0"/>
    </xf>
    <xf numFmtId="0" fontId="1" fillId="0" borderId="15" xfId="0" applyFont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1" fillId="3" borderId="35" xfId="2" applyFont="1" applyFill="1" applyBorder="1" applyAlignment="1">
      <alignment horizontal="center"/>
    </xf>
    <xf numFmtId="0" fontId="1" fillId="3" borderId="11" xfId="2" applyFont="1" applyFill="1" applyBorder="1" applyAlignment="1">
      <alignment horizontal="center"/>
    </xf>
    <xf numFmtId="0" fontId="1" fillId="4" borderId="17" xfId="2" applyFont="1" applyFill="1" applyBorder="1" applyAlignment="1">
      <alignment horizontal="center"/>
    </xf>
    <xf numFmtId="14" fontId="1" fillId="0" borderId="1" xfId="0" applyNumberFormat="1" applyFont="1" applyFill="1" applyBorder="1" applyAlignment="1" applyProtection="1">
      <alignment horizontal="left"/>
      <protection locked="0"/>
    </xf>
    <xf numFmtId="0" fontId="1" fillId="0" borderId="37" xfId="0" applyFont="1" applyFill="1" applyBorder="1" applyAlignment="1">
      <alignment horizontal="center"/>
    </xf>
    <xf numFmtId="0" fontId="1" fillId="0" borderId="62" xfId="0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" fillId="0" borderId="4" xfId="0" applyFont="1" applyFill="1" applyBorder="1" applyProtection="1">
      <protection locked="0"/>
    </xf>
    <xf numFmtId="0" fontId="0" fillId="0" borderId="4" xfId="0" applyBorder="1"/>
    <xf numFmtId="0" fontId="0" fillId="0" borderId="5" xfId="0" applyBorder="1"/>
    <xf numFmtId="0" fontId="0" fillId="0" borderId="67" xfId="0" applyBorder="1"/>
    <xf numFmtId="0" fontId="0" fillId="0" borderId="68" xfId="0" applyBorder="1"/>
    <xf numFmtId="0" fontId="0" fillId="0" borderId="68" xfId="0" applyBorder="1" applyAlignment="1">
      <alignment wrapText="1"/>
    </xf>
    <xf numFmtId="0" fontId="0" fillId="0" borderId="69" xfId="0" applyBorder="1"/>
    <xf numFmtId="0" fontId="1" fillId="0" borderId="68" xfId="0" applyFont="1" applyBorder="1" applyAlignment="1">
      <alignment wrapText="1"/>
    </xf>
    <xf numFmtId="0" fontId="0" fillId="0" borderId="0" xfId="0" applyBorder="1"/>
    <xf numFmtId="0" fontId="1" fillId="0" borderId="68" xfId="0" applyFont="1" applyBorder="1"/>
    <xf numFmtId="0" fontId="2" fillId="5" borderId="63" xfId="0" applyFont="1" applyFill="1" applyBorder="1" applyAlignment="1" applyProtection="1">
      <alignment vertical="center"/>
      <protection locked="0"/>
    </xf>
    <xf numFmtId="0" fontId="2" fillId="5" borderId="66" xfId="0" applyFont="1" applyFill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9" fillId="0" borderId="0" xfId="0" applyFont="1" applyFill="1" applyProtection="1">
      <protection locked="0"/>
    </xf>
    <xf numFmtId="0" fontId="9" fillId="0" borderId="0" xfId="0" applyFont="1" applyProtection="1">
      <protection locked="0"/>
    </xf>
    <xf numFmtId="0" fontId="9" fillId="0" borderId="0" xfId="0" applyFont="1"/>
    <xf numFmtId="0" fontId="9" fillId="0" borderId="0" xfId="0" applyFont="1" applyBorder="1" applyAlignment="1" applyProtection="1">
      <protection locked="0"/>
    </xf>
    <xf numFmtId="0" fontId="9" fillId="0" borderId="0" xfId="0" applyFont="1" applyFill="1" applyBorder="1" applyAlignment="1" applyProtection="1">
      <protection locked="0"/>
    </xf>
    <xf numFmtId="0" fontId="3" fillId="0" borderId="3" xfId="0" applyFont="1" applyFill="1" applyBorder="1" applyProtection="1">
      <protection locked="0"/>
    </xf>
    <xf numFmtId="0" fontId="0" fillId="0" borderId="9" xfId="0" applyBorder="1"/>
    <xf numFmtId="0" fontId="0" fillId="0" borderId="70" xfId="0" applyBorder="1"/>
    <xf numFmtId="0" fontId="1" fillId="0" borderId="70" xfId="0" applyFont="1" applyFill="1" applyBorder="1" applyProtection="1">
      <protection locked="0"/>
    </xf>
    <xf numFmtId="0" fontId="0" fillId="0" borderId="11" xfId="0" applyBorder="1"/>
    <xf numFmtId="0" fontId="1" fillId="0" borderId="68" xfId="0" applyFont="1" applyFill="1" applyBorder="1" applyProtection="1">
      <protection locked="0"/>
    </xf>
    <xf numFmtId="0" fontId="0" fillId="0" borderId="35" xfId="0" applyBorder="1"/>
    <xf numFmtId="0" fontId="0" fillId="0" borderId="12" xfId="0" applyBorder="1"/>
    <xf numFmtId="0" fontId="1" fillId="0" borderId="69" xfId="0" applyFont="1" applyFill="1" applyBorder="1" applyProtection="1">
      <protection locked="0"/>
    </xf>
    <xf numFmtId="0" fontId="1" fillId="0" borderId="0" xfId="0" applyFont="1" applyFill="1" applyBorder="1" applyProtection="1">
      <protection locked="0"/>
    </xf>
    <xf numFmtId="0" fontId="1" fillId="0" borderId="6" xfId="0" applyFont="1" applyFill="1" applyBorder="1" applyAlignment="1">
      <alignment horizontal="center"/>
    </xf>
    <xf numFmtId="0" fontId="1" fillId="0" borderId="21" xfId="0" applyFont="1" applyFill="1" applyBorder="1" applyAlignment="1">
      <alignment horizontal="center"/>
    </xf>
    <xf numFmtId="0" fontId="1" fillId="0" borderId="57" xfId="0" applyFont="1" applyFill="1" applyBorder="1" applyAlignment="1">
      <alignment horizontal="center"/>
    </xf>
    <xf numFmtId="0" fontId="1" fillId="0" borderId="71" xfId="0" applyFont="1" applyBorder="1" applyAlignment="1">
      <alignment horizontal="center"/>
    </xf>
    <xf numFmtId="0" fontId="9" fillId="0" borderId="1" xfId="0" applyFont="1" applyBorder="1" applyAlignment="1" applyProtection="1">
      <alignment horizontal="center" vertical="center"/>
      <protection locked="0"/>
    </xf>
    <xf numFmtId="0" fontId="7" fillId="0" borderId="61" xfId="0" applyFont="1" applyFill="1" applyBorder="1" applyAlignment="1" applyProtection="1">
      <alignment vertical="center" textRotation="90"/>
      <protection locked="0"/>
    </xf>
    <xf numFmtId="0" fontId="1" fillId="0" borderId="1" xfId="0" applyFont="1" applyFill="1" applyBorder="1" applyAlignment="1" applyProtection="1">
      <alignment horizontal="center"/>
      <protection locked="0"/>
    </xf>
    <xf numFmtId="0" fontId="1" fillId="0" borderId="29" xfId="0" applyFont="1" applyFill="1" applyBorder="1" applyAlignment="1" applyProtection="1">
      <alignment horizontal="center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39" xfId="0" applyFont="1" applyBorder="1" applyAlignment="1" applyProtection="1">
      <protection locked="0"/>
    </xf>
    <xf numFmtId="165" fontId="3" fillId="0" borderId="0" xfId="0" applyNumberFormat="1" applyFont="1" applyFill="1" applyBorder="1" applyAlignment="1" applyProtection="1">
      <alignment horizontal="center" vertical="center" textRotation="90"/>
      <protection locked="0"/>
    </xf>
    <xf numFmtId="0" fontId="1" fillId="0" borderId="9" xfId="0" applyFont="1" applyFill="1" applyBorder="1" applyAlignment="1">
      <alignment horizontal="center"/>
    </xf>
    <xf numFmtId="0" fontId="1" fillId="0" borderId="2" xfId="0" applyFont="1" applyFill="1" applyBorder="1" applyAlignment="1" applyProtection="1">
      <alignment horizontal="center"/>
      <protection locked="0"/>
    </xf>
    <xf numFmtId="0" fontId="1" fillId="0" borderId="30" xfId="0" applyFont="1" applyFill="1" applyBorder="1" applyAlignment="1" applyProtection="1">
      <alignment horizontal="center"/>
      <protection locked="0"/>
    </xf>
    <xf numFmtId="0" fontId="1" fillId="0" borderId="35" xfId="0" applyFont="1" applyFill="1" applyBorder="1" applyAlignment="1">
      <alignment horizontal="center"/>
    </xf>
    <xf numFmtId="0" fontId="1" fillId="0" borderId="1" xfId="0" applyFont="1" applyFill="1" applyBorder="1" applyAlignment="1" applyProtection="1">
      <alignment horizontal="center" vertical="center"/>
      <protection locked="0"/>
    </xf>
    <xf numFmtId="0" fontId="1" fillId="0" borderId="39" xfId="0" applyFont="1" applyFill="1" applyBorder="1" applyProtection="1">
      <protection locked="0"/>
    </xf>
    <xf numFmtId="0" fontId="3" fillId="0" borderId="0" xfId="0" applyFont="1" applyBorder="1" applyAlignment="1">
      <alignment vertical="center"/>
    </xf>
    <xf numFmtId="0" fontId="1" fillId="0" borderId="20" xfId="0" applyFont="1" applyFill="1" applyBorder="1" applyAlignment="1">
      <alignment horizontal="center"/>
    </xf>
    <xf numFmtId="0" fontId="1" fillId="3" borderId="20" xfId="2" applyFont="1" applyFill="1" applyBorder="1" applyAlignment="1">
      <alignment horizontal="center"/>
    </xf>
    <xf numFmtId="0" fontId="1" fillId="4" borderId="41" xfId="2" applyFont="1" applyFill="1" applyBorder="1" applyAlignment="1">
      <alignment horizontal="center"/>
    </xf>
    <xf numFmtId="0" fontId="1" fillId="4" borderId="71" xfId="2" applyFont="1" applyFill="1" applyBorder="1" applyAlignment="1">
      <alignment horizontal="center"/>
    </xf>
    <xf numFmtId="0" fontId="1" fillId="4" borderId="40" xfId="2" applyFont="1" applyFill="1" applyBorder="1" applyAlignment="1">
      <alignment horizontal="center"/>
    </xf>
    <xf numFmtId="164" fontId="1" fillId="0" borderId="0" xfId="0" applyNumberFormat="1" applyFont="1" applyFill="1" applyBorder="1" applyAlignment="1">
      <alignment horizontal="center"/>
    </xf>
    <xf numFmtId="0" fontId="1" fillId="4" borderId="2" xfId="2" applyFont="1" applyFill="1" applyBorder="1" applyAlignment="1">
      <alignment horizontal="center"/>
    </xf>
    <xf numFmtId="0" fontId="1" fillId="4" borderId="2" xfId="0" applyFont="1" applyFill="1" applyBorder="1" applyAlignment="1">
      <alignment vertical="center"/>
    </xf>
    <xf numFmtId="0" fontId="1" fillId="0" borderId="0" xfId="0" applyFont="1" applyBorder="1" applyAlignment="1">
      <alignment wrapText="1"/>
    </xf>
    <xf numFmtId="0" fontId="1" fillId="4" borderId="29" xfId="0" applyFont="1" applyFill="1" applyBorder="1" applyAlignment="1">
      <alignment vertical="center"/>
    </xf>
    <xf numFmtId="0" fontId="1" fillId="0" borderId="0" xfId="0" applyFont="1" applyBorder="1" applyAlignment="1" applyProtection="1">
      <alignment horizontal="left"/>
      <protection locked="0"/>
    </xf>
    <xf numFmtId="0" fontId="3" fillId="0" borderId="0" xfId="0" applyFont="1" applyBorder="1" applyAlignment="1">
      <alignment horizontal="left" vertical="center"/>
    </xf>
    <xf numFmtId="0" fontId="1" fillId="0" borderId="0" xfId="0" applyFont="1" applyFill="1" applyBorder="1" applyAlignment="1" applyProtection="1">
      <alignment horizontal="left"/>
      <protection locked="0"/>
    </xf>
    <xf numFmtId="0" fontId="4" fillId="0" borderId="0" xfId="0" applyFont="1" applyBorder="1" applyAlignment="1" applyProtection="1">
      <alignment horizontal="left"/>
      <protection locked="0"/>
    </xf>
    <xf numFmtId="0" fontId="4" fillId="0" borderId="0" xfId="0" applyFont="1" applyBorder="1" applyAlignment="1">
      <alignment horizontal="right"/>
    </xf>
    <xf numFmtId="0" fontId="8" fillId="0" borderId="0" xfId="0" applyFont="1" applyAlignment="1">
      <alignment horizontal="center" vertical="center"/>
    </xf>
    <xf numFmtId="0" fontId="3" fillId="0" borderId="0" xfId="0" applyFont="1" applyBorder="1"/>
    <xf numFmtId="0" fontId="1" fillId="0" borderId="1" xfId="0" applyFont="1" applyFill="1" applyBorder="1" applyAlignment="1" applyProtection="1">
      <alignment horizontal="left"/>
      <protection locked="0"/>
    </xf>
    <xf numFmtId="0" fontId="6" fillId="0" borderId="0" xfId="0" applyFont="1" applyAlignment="1" applyProtection="1">
      <alignment vertical="center" wrapText="1"/>
      <protection locked="0"/>
    </xf>
    <xf numFmtId="0" fontId="5" fillId="0" borderId="21" xfId="0" applyFont="1" applyFill="1" applyBorder="1" applyAlignment="1" applyProtection="1">
      <alignment vertical="center"/>
      <protection locked="0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3" fillId="0" borderId="23" xfId="0" applyFont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4" fillId="0" borderId="0" xfId="0" applyFont="1" applyFill="1" applyBorder="1" applyAlignment="1">
      <alignment horizontal="center"/>
    </xf>
    <xf numFmtId="164" fontId="9" fillId="0" borderId="0" xfId="0" applyNumberFormat="1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1" fillId="0" borderId="14" xfId="0" applyFont="1" applyBorder="1" applyAlignment="1"/>
    <xf numFmtId="0" fontId="3" fillId="7" borderId="0" xfId="0" applyFont="1" applyFill="1" applyBorder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1" fillId="0" borderId="0" xfId="0" applyFont="1" applyFill="1" applyBorder="1" applyAlignment="1" applyProtection="1">
      <alignment horizontal="left"/>
    </xf>
    <xf numFmtId="0" fontId="11" fillId="0" borderId="0" xfId="0" applyFont="1" applyFill="1" applyBorder="1" applyAlignment="1" applyProtection="1">
      <alignment horizontal="left"/>
      <protection locked="0"/>
    </xf>
    <xf numFmtId="0" fontId="3" fillId="0" borderId="0" xfId="2" applyFont="1" applyFill="1" applyBorder="1" applyAlignment="1">
      <alignment horizontal="left" wrapText="1"/>
    </xf>
    <xf numFmtId="0" fontId="5" fillId="0" borderId="0" xfId="0" applyFont="1" applyBorder="1" applyAlignment="1" applyProtection="1">
      <alignment horizontal="left" vertical="center"/>
      <protection locked="0"/>
    </xf>
    <xf numFmtId="0" fontId="5" fillId="0" borderId="0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Border="1" applyAlignment="1" applyProtection="1">
      <alignment vertical="center"/>
      <protection locked="0"/>
    </xf>
    <xf numFmtId="0" fontId="1" fillId="0" borderId="0" xfId="0" applyFont="1" applyBorder="1" applyAlignment="1"/>
    <xf numFmtId="14" fontId="1" fillId="0" borderId="0" xfId="0" applyNumberFormat="1" applyFont="1" applyFill="1" applyBorder="1" applyAlignment="1" applyProtection="1">
      <alignment horizontal="left"/>
      <protection locked="0"/>
    </xf>
    <xf numFmtId="164" fontId="9" fillId="0" borderId="1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1" fillId="0" borderId="23" xfId="0" applyFont="1" applyBorder="1" applyAlignment="1"/>
    <xf numFmtId="0" fontId="1" fillId="4" borderId="1" xfId="0" applyFont="1" applyFill="1" applyBorder="1" applyAlignment="1">
      <alignment horizontal="right"/>
    </xf>
    <xf numFmtId="0" fontId="15" fillId="0" borderId="0" xfId="0" applyFont="1" applyFill="1" applyAlignment="1">
      <alignment horizontal="left" vertical="center"/>
    </xf>
    <xf numFmtId="0" fontId="3" fillId="0" borderId="23" xfId="0" applyFont="1" applyFill="1" applyBorder="1" applyAlignment="1">
      <alignment horizontal="left" vertical="center"/>
    </xf>
    <xf numFmtId="0" fontId="17" fillId="0" borderId="0" xfId="0" applyFont="1" applyFill="1" applyAlignment="1">
      <alignment horizontal="left" vertical="center"/>
    </xf>
    <xf numFmtId="0" fontId="18" fillId="0" borderId="0" xfId="0" applyFont="1" applyFill="1" applyAlignment="1">
      <alignment horizontal="left" vertical="center"/>
    </xf>
    <xf numFmtId="0" fontId="16" fillId="4" borderId="0" xfId="0" applyFont="1" applyFill="1" applyBorder="1" applyAlignment="1" applyProtection="1">
      <alignment horizontal="left"/>
      <protection locked="0"/>
    </xf>
    <xf numFmtId="0" fontId="2" fillId="5" borderId="0" xfId="0" applyFont="1" applyFill="1" applyBorder="1" applyAlignment="1" applyProtection="1">
      <alignment vertical="center"/>
      <protection locked="0"/>
    </xf>
    <xf numFmtId="0" fontId="2" fillId="0" borderId="0" xfId="0" applyFont="1" applyAlignment="1" applyProtection="1">
      <alignment vertical="center" wrapText="1"/>
      <protection locked="0"/>
    </xf>
    <xf numFmtId="0" fontId="19" fillId="0" borderId="0" xfId="0" applyFont="1" applyAlignment="1" applyProtection="1">
      <alignment horizontal="center" vertical="center" wrapText="1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0" fontId="9" fillId="0" borderId="13" xfId="0" applyFont="1" applyBorder="1" applyAlignment="1" applyProtection="1">
      <alignment horizontal="center" vertical="center"/>
      <protection locked="0"/>
    </xf>
    <xf numFmtId="0" fontId="1" fillId="0" borderId="16" xfId="0" applyFont="1" applyBorder="1" applyAlignment="1" applyProtection="1">
      <alignment horizontal="center" vertical="center"/>
      <protection locked="0"/>
    </xf>
    <xf numFmtId="0" fontId="9" fillId="0" borderId="41" xfId="0" applyFont="1" applyBorder="1" applyAlignment="1" applyProtection="1">
      <alignment horizontal="center" vertical="center"/>
      <protection locked="0"/>
    </xf>
    <xf numFmtId="0" fontId="1" fillId="0" borderId="41" xfId="0" applyFont="1" applyBorder="1" applyAlignment="1" applyProtection="1">
      <alignment horizontal="center" vertical="center"/>
      <protection locked="0"/>
    </xf>
    <xf numFmtId="0" fontId="9" fillId="0" borderId="14" xfId="0" applyFont="1" applyBorder="1" applyAlignment="1" applyProtection="1">
      <alignment horizontal="center" vertical="center"/>
      <protection locked="0"/>
    </xf>
    <xf numFmtId="0" fontId="9" fillId="0" borderId="50" xfId="0" applyFont="1" applyBorder="1" applyAlignment="1" applyProtection="1">
      <alignment horizontal="center" vertical="center"/>
      <protection locked="0"/>
    </xf>
    <xf numFmtId="0" fontId="9" fillId="0" borderId="18" xfId="0" applyFont="1" applyBorder="1" applyAlignment="1" applyProtection="1">
      <alignment horizontal="center" vertical="center"/>
      <protection locked="0"/>
    </xf>
    <xf numFmtId="0" fontId="1" fillId="0" borderId="18" xfId="0" applyFont="1" applyBorder="1" applyAlignment="1" applyProtection="1">
      <alignment horizontal="center" vertical="center"/>
      <protection locked="0"/>
    </xf>
    <xf numFmtId="0" fontId="9" fillId="0" borderId="30" xfId="0" applyFont="1" applyBorder="1" applyAlignment="1" applyProtection="1">
      <alignment horizontal="center" vertical="center"/>
      <protection locked="0"/>
    </xf>
    <xf numFmtId="0" fontId="9" fillId="0" borderId="29" xfId="0" applyFont="1" applyBorder="1" applyAlignment="1" applyProtection="1">
      <alignment horizontal="center" vertical="center"/>
      <protection locked="0"/>
    </xf>
    <xf numFmtId="0" fontId="1" fillId="0" borderId="13" xfId="0" applyFont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0" fontId="1" fillId="0" borderId="15" xfId="0" applyFont="1" applyBorder="1" applyAlignment="1" applyProtection="1">
      <alignment horizontal="center" vertical="center"/>
      <protection locked="0"/>
    </xf>
    <xf numFmtId="0" fontId="1" fillId="0" borderId="28" xfId="0" applyFont="1" applyBorder="1" applyAlignment="1" applyProtection="1">
      <alignment horizontal="center" vertical="center"/>
      <protection locked="0"/>
    </xf>
    <xf numFmtId="0" fontId="1" fillId="0" borderId="17" xfId="0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left"/>
      <protection locked="0"/>
    </xf>
    <xf numFmtId="14" fontId="3" fillId="0" borderId="0" xfId="0" applyNumberFormat="1" applyFont="1"/>
    <xf numFmtId="0" fontId="3" fillId="0" borderId="0" xfId="0" applyFont="1" applyBorder="1" applyAlignment="1" applyProtection="1">
      <alignment horizontal="left" indent="1"/>
      <protection locked="0"/>
    </xf>
    <xf numFmtId="9" fontId="1" fillId="6" borderId="2" xfId="1" applyFont="1" applyFill="1" applyBorder="1" applyAlignment="1">
      <alignment horizontal="center"/>
    </xf>
    <xf numFmtId="0" fontId="1" fillId="0" borderId="16" xfId="0" applyFont="1" applyFill="1" applyBorder="1" applyAlignment="1">
      <alignment horizontal="center"/>
    </xf>
    <xf numFmtId="0" fontId="2" fillId="5" borderId="13" xfId="0" applyFont="1" applyFill="1" applyBorder="1" applyAlignment="1">
      <alignment horizontal="center" vertical="center"/>
    </xf>
    <xf numFmtId="0" fontId="1" fillId="0" borderId="0" xfId="0" applyFont="1" applyFill="1" applyAlignment="1" applyProtection="1">
      <alignment horizontal="center"/>
      <protection locked="0"/>
    </xf>
    <xf numFmtId="0" fontId="3" fillId="0" borderId="1" xfId="0" applyFont="1" applyBorder="1" applyProtection="1">
      <protection locked="0"/>
    </xf>
    <xf numFmtId="0" fontId="3" fillId="0" borderId="14" xfId="0" applyFont="1" applyFill="1" applyBorder="1" applyAlignment="1" applyProtection="1">
      <alignment vertical="center"/>
      <protection locked="0"/>
    </xf>
    <xf numFmtId="14" fontId="1" fillId="0" borderId="0" xfId="0" applyNumberFormat="1" applyFont="1" applyAlignment="1">
      <alignment textRotation="90" wrapText="1"/>
    </xf>
    <xf numFmtId="0" fontId="1" fillId="0" borderId="1" xfId="0" applyFont="1" applyBorder="1" applyAlignment="1" applyProtection="1">
      <alignment horizontal="center" vertical="center"/>
    </xf>
    <xf numFmtId="0" fontId="0" fillId="0" borderId="0" xfId="0"/>
    <xf numFmtId="0" fontId="3" fillId="0" borderId="0" xfId="0" applyFont="1" applyAlignment="1">
      <alignment horizontal="left" vertical="center"/>
    </xf>
    <xf numFmtId="0" fontId="0" fillId="0" borderId="0" xfId="0"/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0" xfId="0" applyFont="1"/>
    <xf numFmtId="0" fontId="3" fillId="0" borderId="0" xfId="0" applyFont="1" applyFill="1" applyProtection="1">
      <protection locked="0"/>
    </xf>
    <xf numFmtId="0" fontId="7" fillId="0" borderId="61" xfId="0" applyFont="1" applyBorder="1" applyAlignment="1" applyProtection="1">
      <alignment vertical="center" textRotation="90"/>
      <protection locked="0"/>
    </xf>
    <xf numFmtId="0" fontId="9" fillId="0" borderId="0" xfId="0" applyFont="1" applyFill="1" applyBorder="1" applyProtection="1">
      <protection locked="0"/>
    </xf>
    <xf numFmtId="0" fontId="1" fillId="0" borderId="68" xfId="0" applyFont="1" applyFill="1" applyBorder="1" applyProtection="1">
      <protection locked="0"/>
    </xf>
    <xf numFmtId="0" fontId="1" fillId="0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3" fillId="0" borderId="0" xfId="0" applyFont="1" applyFill="1" applyBorder="1" applyAlignment="1" applyProtection="1">
      <alignment horizontal="center"/>
      <protection locked="0"/>
    </xf>
    <xf numFmtId="0" fontId="21" fillId="0" borderId="0" xfId="0" applyFont="1" applyFill="1" applyBorder="1" applyProtection="1">
      <protection locked="0"/>
    </xf>
    <xf numFmtId="0" fontId="3" fillId="0" borderId="0" xfId="0" applyFont="1" applyBorder="1" applyAlignment="1" applyProtection="1">
      <alignment horizontal="left"/>
      <protection locked="0"/>
    </xf>
    <xf numFmtId="0" fontId="10" fillId="0" borderId="0" xfId="0" applyFont="1" applyFill="1"/>
    <xf numFmtId="0" fontId="3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/>
    </xf>
    <xf numFmtId="0" fontId="24" fillId="0" borderId="0" xfId="0" applyFont="1" applyAlignment="1">
      <alignment horizontal="left" vertical="top"/>
    </xf>
    <xf numFmtId="0" fontId="21" fillId="0" borderId="0" xfId="0" applyFont="1" applyProtection="1">
      <protection locked="0"/>
    </xf>
    <xf numFmtId="0" fontId="9" fillId="0" borderId="0" xfId="0" applyFont="1" applyFill="1" applyAlignment="1">
      <alignment horizontal="left" vertical="center"/>
    </xf>
    <xf numFmtId="0" fontId="1" fillId="3" borderId="4" xfId="2" applyFont="1" applyFill="1" applyBorder="1" applyAlignment="1">
      <alignment horizontal="center"/>
    </xf>
    <xf numFmtId="0" fontId="1" fillId="4" borderId="14" xfId="2" applyFont="1" applyFill="1" applyBorder="1" applyAlignment="1">
      <alignment horizontal="center"/>
    </xf>
    <xf numFmtId="0" fontId="1" fillId="4" borderId="36" xfId="2" applyFont="1" applyFill="1" applyBorder="1" applyAlignment="1">
      <alignment horizontal="center"/>
    </xf>
    <xf numFmtId="0" fontId="1" fillId="4" borderId="1" xfId="2" applyFont="1" applyFill="1" applyBorder="1" applyAlignment="1">
      <alignment horizontal="center"/>
    </xf>
    <xf numFmtId="0" fontId="1" fillId="4" borderId="21" xfId="2" applyFont="1" applyFill="1" applyBorder="1" applyAlignment="1">
      <alignment horizontal="center"/>
    </xf>
    <xf numFmtId="0" fontId="1" fillId="0" borderId="8" xfId="0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vertical="top" wrapText="1"/>
      <protection locked="0"/>
    </xf>
    <xf numFmtId="0" fontId="3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1" fillId="4" borderId="16" xfId="2" applyFont="1" applyFill="1" applyBorder="1" applyAlignment="1">
      <alignment horizontal="center"/>
    </xf>
    <xf numFmtId="0" fontId="1" fillId="0" borderId="9" xfId="2" applyFont="1" applyFill="1" applyBorder="1" applyAlignment="1">
      <alignment horizontal="center"/>
    </xf>
    <xf numFmtId="0" fontId="1" fillId="0" borderId="11" xfId="2" applyFont="1" applyFill="1" applyBorder="1" applyAlignment="1">
      <alignment horizontal="center"/>
    </xf>
    <xf numFmtId="0" fontId="1" fillId="0" borderId="35" xfId="2" applyFont="1" applyFill="1" applyBorder="1" applyAlignment="1">
      <alignment horizontal="center"/>
    </xf>
    <xf numFmtId="0" fontId="1" fillId="0" borderId="10" xfId="2" applyFont="1" applyFill="1" applyBorder="1" applyAlignment="1">
      <alignment horizontal="center"/>
    </xf>
    <xf numFmtId="0" fontId="1" fillId="0" borderId="0" xfId="0" applyFont="1" applyFill="1" applyAlignment="1" applyProtection="1">
      <alignment horizontal="center"/>
      <protection locked="0"/>
    </xf>
    <xf numFmtId="0" fontId="3" fillId="0" borderId="0" xfId="0" applyFont="1" applyBorder="1" applyAlignment="1">
      <alignment horizontal="left" vertical="center"/>
    </xf>
    <xf numFmtId="0" fontId="11" fillId="9" borderId="0" xfId="0" applyFont="1" applyFill="1" applyBorder="1" applyAlignment="1" applyProtection="1">
      <alignment horizontal="left"/>
      <protection locked="0"/>
    </xf>
    <xf numFmtId="0" fontId="1" fillId="0" borderId="0" xfId="0" applyFont="1" applyAlignment="1" applyProtection="1">
      <alignment horizontal="center"/>
      <protection locked="0"/>
    </xf>
    <xf numFmtId="0" fontId="9" fillId="0" borderId="0" xfId="0" applyFont="1" applyAlignment="1">
      <alignment horizontal="left" vertical="center"/>
    </xf>
    <xf numFmtId="165" fontId="7" fillId="0" borderId="59" xfId="0" applyNumberFormat="1" applyFont="1" applyFill="1" applyBorder="1" applyAlignment="1" applyProtection="1">
      <alignment vertical="center" textRotation="90"/>
      <protection locked="0"/>
    </xf>
    <xf numFmtId="165" fontId="7" fillId="0" borderId="61" xfId="0" applyNumberFormat="1" applyFont="1" applyFill="1" applyBorder="1" applyAlignment="1" applyProtection="1">
      <alignment vertical="center" textRotation="90"/>
      <protection locked="0"/>
    </xf>
    <xf numFmtId="0" fontId="1" fillId="8" borderId="4" xfId="0" applyFont="1" applyFill="1" applyBorder="1" applyAlignment="1">
      <alignment horizontal="center"/>
    </xf>
    <xf numFmtId="0" fontId="1" fillId="8" borderId="1" xfId="0" applyFont="1" applyFill="1" applyBorder="1" applyAlignment="1" applyProtection="1">
      <alignment horizontal="center" vertical="center"/>
      <protection locked="0"/>
    </xf>
    <xf numFmtId="0" fontId="1" fillId="8" borderId="11" xfId="0" applyFont="1" applyFill="1" applyBorder="1" applyAlignment="1">
      <alignment horizontal="center"/>
    </xf>
    <xf numFmtId="0" fontId="1" fillId="8" borderId="5" xfId="0" applyFont="1" applyFill="1" applyBorder="1" applyAlignment="1">
      <alignment horizontal="center"/>
    </xf>
    <xf numFmtId="0" fontId="1" fillId="8" borderId="29" xfId="0" applyFont="1" applyFill="1" applyBorder="1" applyAlignment="1" applyProtection="1">
      <alignment horizontal="center" vertical="center"/>
      <protection locked="0"/>
    </xf>
    <xf numFmtId="0" fontId="1" fillId="8" borderId="12" xfId="0" applyFont="1" applyFill="1" applyBorder="1" applyAlignment="1">
      <alignment horizontal="center"/>
    </xf>
    <xf numFmtId="0" fontId="1" fillId="8" borderId="14" xfId="0" applyFont="1" applyFill="1" applyBorder="1" applyAlignment="1" applyProtection="1">
      <alignment horizontal="center" vertical="center"/>
      <protection locked="0"/>
    </xf>
    <xf numFmtId="0" fontId="9" fillId="8" borderId="1" xfId="0" applyFont="1" applyFill="1" applyBorder="1" applyAlignment="1" applyProtection="1">
      <alignment horizontal="center" vertical="center"/>
      <protection locked="0"/>
    </xf>
    <xf numFmtId="0" fontId="1" fillId="8" borderId="31" xfId="0" applyFont="1" applyFill="1" applyBorder="1" applyAlignment="1">
      <alignment horizontal="center"/>
    </xf>
    <xf numFmtId="0" fontId="1" fillId="8" borderId="50" xfId="0" applyFont="1" applyFill="1" applyBorder="1" applyAlignment="1" applyProtection="1">
      <alignment horizontal="center" vertical="center"/>
      <protection locked="0"/>
    </xf>
    <xf numFmtId="0" fontId="9" fillId="8" borderId="41" xfId="0" applyFont="1" applyFill="1" applyBorder="1" applyAlignment="1" applyProtection="1">
      <alignment horizontal="center" vertical="center"/>
      <protection locked="0"/>
    </xf>
    <xf numFmtId="0" fontId="1" fillId="8" borderId="41" xfId="0" applyFont="1" applyFill="1" applyBorder="1" applyAlignment="1" applyProtection="1">
      <alignment horizontal="center" vertical="center"/>
      <protection locked="0"/>
    </xf>
    <xf numFmtId="0" fontId="1" fillId="8" borderId="33" xfId="0" applyFont="1" applyFill="1" applyBorder="1" applyAlignment="1">
      <alignment horizontal="center"/>
    </xf>
    <xf numFmtId="0" fontId="1" fillId="0" borderId="28" xfId="0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left"/>
      <protection locked="0"/>
    </xf>
    <xf numFmtId="0" fontId="1" fillId="0" borderId="19" xfId="0" applyFont="1" applyFill="1" applyBorder="1" applyAlignment="1">
      <alignment horizontal="center"/>
    </xf>
    <xf numFmtId="0" fontId="1" fillId="0" borderId="0" xfId="0" applyFont="1" applyFill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vertical="top" wrapText="1"/>
      <protection locked="0"/>
    </xf>
    <xf numFmtId="0" fontId="3" fillId="0" borderId="0" xfId="0" applyFont="1" applyFill="1" applyBorder="1" applyAlignment="1" applyProtection="1">
      <protection locked="0"/>
    </xf>
    <xf numFmtId="0" fontId="3" fillId="0" borderId="0" xfId="0" applyFont="1" applyFill="1" applyBorder="1" applyProtection="1">
      <protection locked="0"/>
    </xf>
    <xf numFmtId="0" fontId="9" fillId="0" borderId="1" xfId="0" applyFont="1" applyFill="1" applyBorder="1" applyAlignment="1" applyProtection="1">
      <alignment horizontal="left" vertical="center"/>
      <protection locked="0"/>
    </xf>
    <xf numFmtId="49" fontId="0" fillId="0" borderId="0" xfId="0" applyNumberFormat="1"/>
    <xf numFmtId="0" fontId="1" fillId="8" borderId="5" xfId="0" applyFont="1" applyFill="1" applyBorder="1"/>
    <xf numFmtId="0" fontId="1" fillId="8" borderId="29" xfId="0" applyFont="1" applyFill="1" applyBorder="1"/>
    <xf numFmtId="0" fontId="1" fillId="8" borderId="29" xfId="0" applyFont="1" applyFill="1" applyBorder="1" applyAlignment="1">
      <alignment wrapText="1"/>
    </xf>
    <xf numFmtId="0" fontId="1" fillId="8" borderId="12" xfId="0" applyFont="1" applyFill="1" applyBorder="1"/>
    <xf numFmtId="0" fontId="1" fillId="8" borderId="57" xfId="0" applyFont="1" applyFill="1" applyBorder="1"/>
    <xf numFmtId="0" fontId="5" fillId="0" borderId="20" xfId="0" applyFont="1" applyBorder="1"/>
    <xf numFmtId="0" fontId="5" fillId="0" borderId="2" xfId="0" applyFont="1" applyBorder="1"/>
    <xf numFmtId="0" fontId="5" fillId="0" borderId="71" xfId="0" applyFont="1" applyBorder="1"/>
    <xf numFmtId="0" fontId="5" fillId="0" borderId="35" xfId="0" applyFont="1" applyBorder="1"/>
    <xf numFmtId="0" fontId="5" fillId="0" borderId="4" xfId="0" applyFont="1" applyBorder="1"/>
    <xf numFmtId="0" fontId="5" fillId="0" borderId="1" xfId="0" applyFont="1" applyBorder="1"/>
    <xf numFmtId="0" fontId="5" fillId="0" borderId="21" xfId="0" applyFont="1" applyBorder="1"/>
    <xf numFmtId="0" fontId="5" fillId="0" borderId="11" xfId="0" applyFont="1" applyBorder="1"/>
    <xf numFmtId="0" fontId="5" fillId="0" borderId="5" xfId="0" applyFont="1" applyBorder="1"/>
    <xf numFmtId="0" fontId="5" fillId="0" borderId="29" xfId="0" applyFont="1" applyBorder="1"/>
    <xf numFmtId="0" fontId="5" fillId="0" borderId="57" xfId="0" applyFont="1" applyBorder="1"/>
    <xf numFmtId="0" fontId="5" fillId="0" borderId="12" xfId="0" applyFont="1" applyBorder="1"/>
    <xf numFmtId="0" fontId="0" fillId="8" borderId="51" xfId="0" applyFill="1" applyBorder="1"/>
    <xf numFmtId="0" fontId="1" fillId="8" borderId="53" xfId="0" applyFont="1" applyFill="1" applyBorder="1"/>
    <xf numFmtId="0" fontId="5" fillId="0" borderId="22" xfId="0" applyFont="1" applyBorder="1"/>
    <xf numFmtId="0" fontId="5" fillId="0" borderId="25" xfId="0" applyFont="1" applyBorder="1"/>
    <xf numFmtId="0" fontId="5" fillId="0" borderId="53" xfId="0" applyFont="1" applyBorder="1"/>
    <xf numFmtId="0" fontId="1" fillId="8" borderId="15" xfId="0" applyFont="1" applyFill="1" applyBorder="1" applyAlignment="1">
      <alignment wrapText="1"/>
    </xf>
    <xf numFmtId="0" fontId="5" fillId="0" borderId="16" xfId="0" applyFont="1" applyBorder="1"/>
    <xf numFmtId="0" fontId="5" fillId="0" borderId="14" xfId="0" applyFont="1" applyBorder="1"/>
    <xf numFmtId="0" fontId="5" fillId="0" borderId="15" xfId="0" applyFont="1" applyBorder="1"/>
    <xf numFmtId="0" fontId="1" fillId="8" borderId="5" xfId="0" applyFont="1" applyFill="1" applyBorder="1" applyAlignment="1">
      <alignment wrapText="1"/>
    </xf>
    <xf numFmtId="49" fontId="1" fillId="8" borderId="12" xfId="0" applyNumberFormat="1" applyFont="1" applyFill="1" applyBorder="1"/>
    <xf numFmtId="49" fontId="5" fillId="0" borderId="35" xfId="0" applyNumberFormat="1" applyFont="1" applyBorder="1"/>
    <xf numFmtId="49" fontId="5" fillId="0" borderId="11" xfId="0" applyNumberFormat="1" applyFont="1" applyBorder="1"/>
    <xf numFmtId="49" fontId="5" fillId="0" borderId="12" xfId="0" applyNumberFormat="1" applyFont="1" applyBorder="1"/>
    <xf numFmtId="0" fontId="27" fillId="0" borderId="0" xfId="3"/>
    <xf numFmtId="0" fontId="28" fillId="0" borderId="0" xfId="0" applyFont="1" applyAlignment="1">
      <alignment horizontal="left" vertical="center"/>
    </xf>
    <xf numFmtId="0" fontId="3" fillId="10" borderId="0" xfId="0" applyFont="1" applyFill="1" applyBorder="1" applyAlignment="1" applyProtection="1">
      <alignment vertical="top" wrapText="1"/>
      <protection locked="0"/>
    </xf>
    <xf numFmtId="0" fontId="3" fillId="10" borderId="0" xfId="0" applyFont="1" applyFill="1" applyBorder="1" applyAlignment="1" applyProtection="1">
      <protection locked="0"/>
    </xf>
    <xf numFmtId="165" fontId="7" fillId="0" borderId="60" xfId="0" applyNumberFormat="1" applyFont="1" applyFill="1" applyBorder="1" applyAlignment="1" applyProtection="1">
      <alignment vertical="center" textRotation="90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9" fillId="0" borderId="61" xfId="2" applyFont="1" applyFill="1" applyBorder="1" applyAlignment="1">
      <alignment vertical="center" textRotation="90" wrapText="1"/>
    </xf>
    <xf numFmtId="0" fontId="9" fillId="0" borderId="60" xfId="2" applyFont="1" applyFill="1" applyBorder="1" applyAlignment="1">
      <alignment vertical="center" textRotation="90" wrapText="1"/>
    </xf>
    <xf numFmtId="0" fontId="1" fillId="0" borderId="0" xfId="0" applyFont="1" applyBorder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1" fillId="12" borderId="12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1" fillId="13" borderId="35" xfId="0" applyFont="1" applyFill="1" applyBorder="1" applyAlignment="1">
      <alignment horizontal="center"/>
    </xf>
    <xf numFmtId="0" fontId="1" fillId="13" borderId="33" xfId="0" applyFont="1" applyFill="1" applyBorder="1" applyAlignment="1">
      <alignment horizontal="center"/>
    </xf>
    <xf numFmtId="0" fontId="1" fillId="13" borderId="9" xfId="0" applyFont="1" applyFill="1" applyBorder="1" applyAlignment="1">
      <alignment horizontal="center"/>
    </xf>
    <xf numFmtId="0" fontId="1" fillId="13" borderId="12" xfId="0" applyFont="1" applyFill="1" applyBorder="1" applyAlignment="1">
      <alignment horizontal="center"/>
    </xf>
    <xf numFmtId="0" fontId="7" fillId="0" borderId="0" xfId="0" applyFont="1" applyFill="1" applyBorder="1" applyAlignment="1" applyProtection="1">
      <alignment horizontal="center" vertical="center" textRotation="90" wrapText="1"/>
      <protection locked="0"/>
    </xf>
    <xf numFmtId="0" fontId="3" fillId="0" borderId="0" xfId="0" applyFont="1" applyBorder="1" applyAlignment="1" applyProtection="1">
      <alignment horizontal="left"/>
      <protection locked="0"/>
    </xf>
    <xf numFmtId="0" fontId="1" fillId="0" borderId="0" xfId="0" applyFont="1" applyBorder="1" applyAlignment="1">
      <alignment horizontal="center" vertical="center" textRotation="90"/>
    </xf>
    <xf numFmtId="0" fontId="7" fillId="0" borderId="0" xfId="0" applyFont="1" applyFill="1" applyBorder="1" applyAlignment="1" applyProtection="1">
      <alignment horizontal="left" vertical="top" wrapText="1"/>
      <protection locked="0"/>
    </xf>
    <xf numFmtId="0" fontId="11" fillId="0" borderId="22" xfId="0" applyFont="1" applyBorder="1" applyAlignment="1" applyProtection="1">
      <alignment horizontal="left"/>
      <protection locked="0"/>
    </xf>
    <xf numFmtId="0" fontId="1" fillId="0" borderId="23" xfId="0" applyFont="1" applyBorder="1" applyAlignment="1" applyProtection="1">
      <alignment horizontal="left"/>
      <protection locked="0"/>
    </xf>
    <xf numFmtId="0" fontId="11" fillId="0" borderId="24" xfId="0" applyFont="1" applyBorder="1" applyAlignment="1" applyProtection="1">
      <alignment horizontal="left"/>
      <protection locked="0"/>
    </xf>
    <xf numFmtId="0" fontId="7" fillId="2" borderId="59" xfId="0" applyFont="1" applyFill="1" applyBorder="1" applyAlignment="1" applyProtection="1">
      <alignment horizontal="center" vertical="center" textRotation="90" wrapText="1"/>
      <protection locked="0"/>
    </xf>
    <xf numFmtId="0" fontId="7" fillId="2" borderId="61" xfId="0" applyFont="1" applyFill="1" applyBorder="1" applyAlignment="1" applyProtection="1">
      <alignment horizontal="center" vertical="center" textRotation="90" wrapText="1"/>
      <protection locked="0"/>
    </xf>
    <xf numFmtId="0" fontId="7" fillId="2" borderId="60" xfId="0" applyFont="1" applyFill="1" applyBorder="1" applyAlignment="1" applyProtection="1">
      <alignment horizontal="center" vertical="center" textRotation="90" wrapText="1"/>
      <protection locked="0"/>
    </xf>
    <xf numFmtId="0" fontId="6" fillId="0" borderId="59" xfId="2" applyFont="1" applyFill="1" applyBorder="1" applyAlignment="1">
      <alignment horizontal="center" vertical="center" textRotation="90" wrapText="1"/>
    </xf>
    <xf numFmtId="0" fontId="6" fillId="0" borderId="61" xfId="2" applyFont="1" applyFill="1" applyBorder="1" applyAlignment="1">
      <alignment horizontal="center" vertical="center" textRotation="90" wrapText="1"/>
    </xf>
    <xf numFmtId="0" fontId="6" fillId="0" borderId="60" xfId="2" applyFont="1" applyFill="1" applyBorder="1" applyAlignment="1">
      <alignment horizontal="center" vertical="center" textRotation="90" wrapText="1"/>
    </xf>
    <xf numFmtId="0" fontId="7" fillId="0" borderId="59" xfId="0" applyFont="1" applyFill="1" applyBorder="1" applyAlignment="1" applyProtection="1">
      <alignment horizontal="center" vertical="center" textRotation="90" wrapText="1"/>
      <protection locked="0"/>
    </xf>
    <xf numFmtId="0" fontId="7" fillId="0" borderId="61" xfId="0" applyFont="1" applyFill="1" applyBorder="1" applyAlignment="1" applyProtection="1">
      <alignment horizontal="center" vertical="center" textRotation="90" wrapText="1"/>
      <protection locked="0"/>
    </xf>
    <xf numFmtId="0" fontId="7" fillId="0" borderId="60" xfId="0" applyFont="1" applyFill="1" applyBorder="1" applyAlignment="1" applyProtection="1">
      <alignment horizontal="center" vertical="center" textRotation="90" wrapText="1"/>
      <protection locked="0"/>
    </xf>
    <xf numFmtId="0" fontId="1" fillId="0" borderId="25" xfId="2" applyFont="1" applyFill="1" applyBorder="1" applyAlignment="1">
      <alignment horizontal="left" vertical="center"/>
    </xf>
    <xf numFmtId="0" fontId="1" fillId="0" borderId="26" xfId="2" applyFont="1" applyFill="1" applyBorder="1" applyAlignment="1">
      <alignment horizontal="left" vertical="center"/>
    </xf>
    <xf numFmtId="0" fontId="1" fillId="0" borderId="27" xfId="2" applyFont="1" applyFill="1" applyBorder="1" applyAlignment="1">
      <alignment horizontal="left" vertical="center"/>
    </xf>
    <xf numFmtId="0" fontId="1" fillId="0" borderId="25" xfId="0" applyFont="1" applyFill="1" applyBorder="1" applyAlignment="1">
      <alignment horizontal="left"/>
    </xf>
    <xf numFmtId="0" fontId="1" fillId="0" borderId="26" xfId="0" applyFont="1" applyFill="1" applyBorder="1" applyAlignment="1">
      <alignment horizontal="left"/>
    </xf>
    <xf numFmtId="0" fontId="1" fillId="0" borderId="27" xfId="0" applyFont="1" applyFill="1" applyBorder="1" applyAlignment="1">
      <alignment horizontal="left"/>
    </xf>
    <xf numFmtId="0" fontId="1" fillId="0" borderId="25" xfId="0" applyFont="1" applyFill="1" applyBorder="1" applyAlignment="1" applyProtection="1">
      <alignment horizontal="left"/>
      <protection locked="0"/>
    </xf>
    <xf numFmtId="0" fontId="1" fillId="0" borderId="26" xfId="0" applyFont="1" applyFill="1" applyBorder="1" applyAlignment="1" applyProtection="1">
      <alignment horizontal="left"/>
      <protection locked="0"/>
    </xf>
    <xf numFmtId="0" fontId="11" fillId="0" borderId="27" xfId="0" applyFont="1" applyFill="1" applyBorder="1" applyAlignment="1" applyProtection="1">
      <alignment horizontal="left"/>
      <protection locked="0"/>
    </xf>
    <xf numFmtId="0" fontId="1" fillId="0" borderId="27" xfId="0" applyFont="1" applyFill="1" applyBorder="1" applyAlignment="1" applyProtection="1">
      <alignment horizontal="left"/>
      <protection locked="0"/>
    </xf>
    <xf numFmtId="0" fontId="1" fillId="0" borderId="59" xfId="0" applyFont="1" applyFill="1" applyBorder="1" applyAlignment="1">
      <alignment horizontal="center" vertical="center" textRotation="90"/>
    </xf>
    <xf numFmtId="0" fontId="1" fillId="0" borderId="61" xfId="0" applyFont="1" applyFill="1" applyBorder="1" applyAlignment="1">
      <alignment horizontal="center" vertical="center" textRotation="90"/>
    </xf>
    <xf numFmtId="0" fontId="1" fillId="0" borderId="60" xfId="0" applyFont="1" applyFill="1" applyBorder="1" applyAlignment="1">
      <alignment horizontal="center" vertical="center" textRotation="90"/>
    </xf>
    <xf numFmtId="0" fontId="11" fillId="0" borderId="53" xfId="0" applyFont="1" applyFill="1" applyBorder="1" applyAlignment="1" applyProtection="1">
      <alignment horizontal="left"/>
      <protection locked="0"/>
    </xf>
    <xf numFmtId="0" fontId="11" fillId="0" borderId="54" xfId="0" applyFont="1" applyFill="1" applyBorder="1" applyAlignment="1" applyProtection="1">
      <alignment horizontal="left"/>
      <protection locked="0"/>
    </xf>
    <xf numFmtId="0" fontId="11" fillId="0" borderId="55" xfId="0" applyFont="1" applyFill="1" applyBorder="1" applyAlignment="1" applyProtection="1">
      <alignment horizontal="left"/>
      <protection locked="0"/>
    </xf>
    <xf numFmtId="0" fontId="1" fillId="0" borderId="22" xfId="2" applyFill="1" applyBorder="1" applyProtection="1">
      <protection locked="0"/>
    </xf>
    <xf numFmtId="0" fontId="1" fillId="0" borderId="23" xfId="2" applyFill="1" applyBorder="1" applyProtection="1">
      <protection locked="0"/>
    </xf>
    <xf numFmtId="0" fontId="1" fillId="0" borderId="24" xfId="2" applyFill="1" applyBorder="1" applyProtection="1">
      <protection locked="0"/>
    </xf>
    <xf numFmtId="0" fontId="11" fillId="0" borderId="25" xfId="0" applyFont="1" applyFill="1" applyBorder="1" applyAlignment="1" applyProtection="1">
      <alignment horizontal="left"/>
      <protection locked="0"/>
    </xf>
    <xf numFmtId="0" fontId="11" fillId="0" borderId="26" xfId="0" applyFont="1" applyFill="1" applyBorder="1" applyAlignment="1" applyProtection="1">
      <alignment horizontal="left"/>
      <protection locked="0"/>
    </xf>
    <xf numFmtId="0" fontId="11" fillId="0" borderId="22" xfId="0" applyFont="1" applyFill="1" applyBorder="1" applyAlignment="1" applyProtection="1">
      <alignment horizontal="left"/>
      <protection locked="0"/>
    </xf>
    <xf numFmtId="0" fontId="11" fillId="0" borderId="23" xfId="0" applyFont="1" applyFill="1" applyBorder="1" applyAlignment="1" applyProtection="1">
      <alignment horizontal="left"/>
      <protection locked="0"/>
    </xf>
    <xf numFmtId="0" fontId="11" fillId="0" borderId="24" xfId="0" applyFont="1" applyFill="1" applyBorder="1" applyAlignment="1" applyProtection="1">
      <alignment horizontal="left"/>
      <protection locked="0"/>
    </xf>
    <xf numFmtId="0" fontId="2" fillId="5" borderId="46" xfId="0" applyFont="1" applyFill="1" applyBorder="1" applyAlignment="1">
      <alignment horizontal="center" vertical="center" textRotation="90"/>
    </xf>
    <xf numFmtId="0" fontId="2" fillId="5" borderId="44" xfId="0" applyFont="1" applyFill="1" applyBorder="1" applyAlignment="1">
      <alignment horizontal="center" vertical="center" textRotation="90"/>
    </xf>
    <xf numFmtId="0" fontId="11" fillId="0" borderId="53" xfId="0" applyFont="1" applyBorder="1" applyAlignment="1" applyProtection="1">
      <alignment horizontal="left"/>
      <protection locked="0"/>
    </xf>
    <xf numFmtId="0" fontId="1" fillId="0" borderId="54" xfId="0" applyFont="1" applyBorder="1" applyAlignment="1" applyProtection="1">
      <alignment horizontal="left"/>
      <protection locked="0"/>
    </xf>
    <xf numFmtId="0" fontId="11" fillId="0" borderId="55" xfId="0" applyFont="1" applyBorder="1" applyAlignment="1" applyProtection="1">
      <alignment horizontal="left"/>
      <protection locked="0"/>
    </xf>
    <xf numFmtId="0" fontId="11" fillId="0" borderId="25" xfId="0" applyFont="1" applyBorder="1" applyAlignment="1" applyProtection="1">
      <alignment horizontal="left"/>
      <protection locked="0"/>
    </xf>
    <xf numFmtId="0" fontId="1" fillId="0" borderId="26" xfId="0" applyFont="1" applyBorder="1" applyAlignment="1" applyProtection="1">
      <alignment horizontal="left"/>
      <protection locked="0"/>
    </xf>
    <xf numFmtId="0" fontId="11" fillId="0" borderId="27" xfId="0" applyFont="1" applyBorder="1" applyAlignment="1" applyProtection="1">
      <alignment horizontal="left"/>
      <protection locked="0"/>
    </xf>
    <xf numFmtId="0" fontId="1" fillId="0" borderId="25" xfId="0" applyFont="1" applyBorder="1" applyAlignment="1" applyProtection="1">
      <alignment horizontal="left"/>
      <protection locked="0"/>
    </xf>
    <xf numFmtId="0" fontId="1" fillId="0" borderId="27" xfId="0" applyFont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left"/>
      <protection locked="0"/>
    </xf>
    <xf numFmtId="0" fontId="3" fillId="0" borderId="0" xfId="0" applyFont="1" applyBorder="1" applyAlignment="1" applyProtection="1">
      <alignment horizontal="left"/>
      <protection locked="0"/>
    </xf>
    <xf numFmtId="0" fontId="1" fillId="0" borderId="51" xfId="0" applyFont="1" applyFill="1" applyBorder="1" applyAlignment="1" applyProtection="1">
      <alignment horizontal="left"/>
      <protection locked="0"/>
    </xf>
    <xf numFmtId="0" fontId="1" fillId="0" borderId="34" xfId="0" applyFont="1" applyFill="1" applyBorder="1" applyAlignment="1" applyProtection="1">
      <alignment horizontal="left"/>
      <protection locked="0"/>
    </xf>
    <xf numFmtId="0" fontId="1" fillId="0" borderId="52" xfId="0" applyFont="1" applyFill="1" applyBorder="1" applyAlignment="1" applyProtection="1">
      <alignment horizontal="left"/>
      <protection locked="0"/>
    </xf>
    <xf numFmtId="0" fontId="3" fillId="0" borderId="0" xfId="0" applyFont="1" applyBorder="1" applyAlignment="1" applyProtection="1">
      <alignment horizontal="left" wrapText="1"/>
      <protection locked="0"/>
    </xf>
    <xf numFmtId="0" fontId="20" fillId="0" borderId="0" xfId="0" applyFont="1" applyBorder="1" applyAlignment="1" applyProtection="1">
      <alignment horizontal="left"/>
      <protection locked="0"/>
    </xf>
    <xf numFmtId="0" fontId="1" fillId="0" borderId="44" xfId="0" applyFont="1" applyFill="1" applyBorder="1" applyAlignment="1" applyProtection="1">
      <alignment horizontal="left"/>
      <protection locked="0"/>
    </xf>
    <xf numFmtId="0" fontId="1" fillId="0" borderId="43" xfId="0" applyFont="1" applyFill="1" applyBorder="1" applyAlignment="1" applyProtection="1">
      <alignment horizontal="left"/>
      <protection locked="0"/>
    </xf>
    <xf numFmtId="0" fontId="1" fillId="0" borderId="45" xfId="0" applyFont="1" applyFill="1" applyBorder="1" applyAlignment="1" applyProtection="1">
      <alignment horizontal="left"/>
      <protection locked="0"/>
    </xf>
    <xf numFmtId="0" fontId="11" fillId="0" borderId="51" xfId="0" applyFont="1" applyFill="1" applyBorder="1" applyAlignment="1" applyProtection="1">
      <alignment horizontal="left"/>
      <protection locked="0"/>
    </xf>
    <xf numFmtId="0" fontId="11" fillId="0" borderId="34" xfId="0" applyFont="1" applyFill="1" applyBorder="1" applyAlignment="1" applyProtection="1">
      <alignment horizontal="left"/>
      <protection locked="0"/>
    </xf>
    <xf numFmtId="0" fontId="11" fillId="0" borderId="52" xfId="0" applyFont="1" applyFill="1" applyBorder="1" applyAlignment="1" applyProtection="1">
      <alignment horizontal="left"/>
      <protection locked="0"/>
    </xf>
    <xf numFmtId="0" fontId="16" fillId="4" borderId="38" xfId="0" applyFont="1" applyFill="1" applyBorder="1" applyAlignment="1" applyProtection="1">
      <alignment horizontal="left"/>
      <protection locked="0"/>
    </xf>
    <xf numFmtId="0" fontId="1" fillId="0" borderId="51" xfId="0" applyFont="1" applyFill="1" applyBorder="1" applyAlignment="1">
      <alignment horizontal="left"/>
    </xf>
    <xf numFmtId="0" fontId="1" fillId="0" borderId="34" xfId="0" applyFont="1" applyFill="1" applyBorder="1" applyAlignment="1">
      <alignment horizontal="left"/>
    </xf>
    <xf numFmtId="0" fontId="1" fillId="0" borderId="52" xfId="0" applyFont="1" applyFill="1" applyBorder="1" applyAlignment="1">
      <alignment horizontal="left"/>
    </xf>
    <xf numFmtId="0" fontId="3" fillId="0" borderId="0" xfId="0" applyFont="1" applyBorder="1" applyAlignment="1" applyProtection="1">
      <alignment horizontal="left" indent="1"/>
      <protection locked="0"/>
    </xf>
    <xf numFmtId="0" fontId="3" fillId="0" borderId="23" xfId="0" applyFont="1" applyBorder="1" applyAlignment="1" applyProtection="1">
      <alignment horizontal="left"/>
      <protection locked="0"/>
    </xf>
    <xf numFmtId="0" fontId="1" fillId="0" borderId="53" xfId="0" applyFont="1" applyFill="1" applyBorder="1" applyAlignment="1" applyProtection="1">
      <alignment horizontal="left"/>
      <protection locked="0"/>
    </xf>
    <xf numFmtId="0" fontId="1" fillId="0" borderId="54" xfId="0" applyFont="1" applyFill="1" applyBorder="1" applyAlignment="1" applyProtection="1">
      <alignment horizontal="left"/>
      <protection locked="0"/>
    </xf>
    <xf numFmtId="0" fontId="1" fillId="0" borderId="55" xfId="0" applyFont="1" applyFill="1" applyBorder="1" applyAlignment="1" applyProtection="1">
      <alignment horizontal="left"/>
      <protection locked="0"/>
    </xf>
    <xf numFmtId="0" fontId="1" fillId="0" borderId="25" xfId="0" applyFont="1" applyFill="1" applyBorder="1" applyAlignment="1" applyProtection="1">
      <alignment horizontal="left"/>
    </xf>
    <xf numFmtId="0" fontId="1" fillId="0" borderId="26" xfId="0" applyFont="1" applyFill="1" applyBorder="1" applyAlignment="1" applyProtection="1">
      <alignment horizontal="left"/>
    </xf>
    <xf numFmtId="0" fontId="1" fillId="0" borderId="27" xfId="0" applyFont="1" applyFill="1" applyBorder="1" applyAlignment="1" applyProtection="1">
      <alignment horizontal="left"/>
    </xf>
    <xf numFmtId="0" fontId="1" fillId="0" borderId="25" xfId="0" applyFont="1" applyBorder="1" applyAlignment="1">
      <alignment horizontal="left"/>
    </xf>
    <xf numFmtId="0" fontId="1" fillId="0" borderId="26" xfId="0" applyFont="1" applyBorder="1" applyAlignment="1">
      <alignment horizontal="left"/>
    </xf>
    <xf numFmtId="0" fontId="1" fillId="0" borderId="27" xfId="0" applyFont="1" applyBorder="1" applyAlignment="1">
      <alignment horizontal="left"/>
    </xf>
    <xf numFmtId="0" fontId="2" fillId="5" borderId="59" xfId="0" applyFont="1" applyFill="1" applyBorder="1" applyAlignment="1">
      <alignment horizontal="center" vertical="center" textRotation="90"/>
    </xf>
    <xf numFmtId="0" fontId="2" fillId="5" borderId="60" xfId="0" applyFont="1" applyFill="1" applyBorder="1" applyAlignment="1">
      <alignment horizontal="center" vertical="center" textRotation="90"/>
    </xf>
    <xf numFmtId="0" fontId="1" fillId="0" borderId="51" xfId="2" applyFill="1" applyBorder="1" applyProtection="1">
      <protection locked="0"/>
    </xf>
    <xf numFmtId="0" fontId="1" fillId="0" borderId="34" xfId="2" applyFill="1" applyBorder="1" applyProtection="1">
      <protection locked="0"/>
    </xf>
    <xf numFmtId="0" fontId="1" fillId="0" borderId="52" xfId="2" applyFill="1" applyBorder="1" applyProtection="1">
      <protection locked="0"/>
    </xf>
    <xf numFmtId="0" fontId="3" fillId="0" borderId="0" xfId="2" applyFont="1" applyBorder="1" applyAlignment="1" applyProtection="1">
      <alignment horizontal="left"/>
      <protection locked="0"/>
    </xf>
    <xf numFmtId="0" fontId="1" fillId="0" borderId="59" xfId="0" applyFont="1" applyBorder="1" applyAlignment="1">
      <alignment horizontal="center" vertical="center" textRotation="90"/>
    </xf>
    <xf numFmtId="0" fontId="1" fillId="0" borderId="61" xfId="0" applyFont="1" applyBorder="1" applyAlignment="1">
      <alignment horizontal="center" vertical="center" textRotation="90"/>
    </xf>
    <xf numFmtId="0" fontId="1" fillId="0" borderId="60" xfId="0" applyFont="1" applyBorder="1" applyAlignment="1">
      <alignment horizontal="center" vertical="center" textRotation="90"/>
    </xf>
    <xf numFmtId="0" fontId="1" fillId="0" borderId="25" xfId="2" applyFill="1" applyBorder="1" applyAlignment="1" applyProtection="1">
      <alignment horizontal="left"/>
      <protection locked="0"/>
    </xf>
    <xf numFmtId="0" fontId="1" fillId="0" borderId="26" xfId="2" applyFill="1" applyBorder="1" applyAlignment="1" applyProtection="1">
      <alignment horizontal="left"/>
      <protection locked="0"/>
    </xf>
    <xf numFmtId="0" fontId="1" fillId="0" borderId="27" xfId="2" applyFill="1" applyBorder="1" applyAlignment="1" applyProtection="1">
      <alignment horizontal="left"/>
      <protection locked="0"/>
    </xf>
    <xf numFmtId="0" fontId="1" fillId="0" borderId="22" xfId="0" applyFont="1" applyFill="1" applyBorder="1" applyAlignment="1" applyProtection="1">
      <alignment horizontal="left"/>
    </xf>
    <xf numFmtId="0" fontId="1" fillId="0" borderId="23" xfId="0" applyFont="1" applyFill="1" applyBorder="1" applyAlignment="1" applyProtection="1">
      <alignment horizontal="left"/>
    </xf>
    <xf numFmtId="0" fontId="1" fillId="0" borderId="24" xfId="0" applyFont="1" applyFill="1" applyBorder="1" applyAlignment="1" applyProtection="1">
      <alignment horizontal="left"/>
    </xf>
    <xf numFmtId="0" fontId="1" fillId="0" borderId="51" xfId="0" applyFont="1" applyFill="1" applyBorder="1" applyAlignment="1" applyProtection="1">
      <alignment horizontal="left"/>
    </xf>
    <xf numFmtId="0" fontId="1" fillId="0" borderId="34" xfId="0" applyFont="1" applyFill="1" applyBorder="1" applyAlignment="1" applyProtection="1">
      <alignment horizontal="left"/>
    </xf>
    <xf numFmtId="0" fontId="1" fillId="0" borderId="52" xfId="0" applyFont="1" applyFill="1" applyBorder="1" applyAlignment="1" applyProtection="1">
      <alignment horizontal="left"/>
    </xf>
    <xf numFmtId="0" fontId="16" fillId="4" borderId="38" xfId="2" applyFont="1" applyFill="1" applyBorder="1" applyAlignment="1" applyProtection="1">
      <alignment horizontal="left"/>
      <protection locked="0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" fillId="0" borderId="53" xfId="0" applyFont="1" applyFill="1" applyBorder="1" applyAlignment="1" applyProtection="1">
      <alignment horizontal="left"/>
    </xf>
    <xf numFmtId="0" fontId="1" fillId="0" borderId="54" xfId="0" applyFont="1" applyFill="1" applyBorder="1" applyAlignment="1" applyProtection="1">
      <alignment horizontal="left"/>
    </xf>
    <xf numFmtId="0" fontId="1" fillId="0" borderId="55" xfId="0" applyFont="1" applyFill="1" applyBorder="1" applyAlignment="1" applyProtection="1">
      <alignment horizontal="left"/>
    </xf>
    <xf numFmtId="0" fontId="2" fillId="5" borderId="6" xfId="0" applyFont="1" applyFill="1" applyBorder="1" applyAlignment="1">
      <alignment horizontal="center" vertical="center"/>
    </xf>
    <xf numFmtId="0" fontId="2" fillId="5" borderId="34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7" fillId="5" borderId="37" xfId="0" applyFont="1" applyFill="1" applyBorder="1" applyAlignment="1">
      <alignment horizontal="center" vertical="center" textRotation="90" wrapText="1"/>
    </xf>
    <xf numFmtId="0" fontId="7" fillId="5" borderId="10" xfId="0" applyFont="1" applyFill="1" applyBorder="1" applyAlignment="1">
      <alignment horizontal="center" vertical="center" textRotation="90"/>
    </xf>
    <xf numFmtId="0" fontId="2" fillId="0" borderId="46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 textRotation="90"/>
    </xf>
    <xf numFmtId="0" fontId="2" fillId="5" borderId="28" xfId="0" applyFont="1" applyFill="1" applyBorder="1" applyAlignment="1">
      <alignment horizontal="center" vertical="center" textRotation="90"/>
    </xf>
    <xf numFmtId="0" fontId="2" fillId="5" borderId="18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21" xfId="0" applyFont="1" applyFill="1" applyBorder="1" applyAlignment="1" applyProtection="1">
      <alignment horizontal="left"/>
      <protection locked="0"/>
    </xf>
    <xf numFmtId="0" fontId="1" fillId="0" borderId="21" xfId="0" applyFont="1" applyFill="1" applyBorder="1" applyAlignment="1">
      <alignment horizontal="left"/>
    </xf>
    <xf numFmtId="0" fontId="1" fillId="0" borderId="21" xfId="0" applyFont="1" applyFill="1" applyBorder="1" applyAlignment="1" applyProtection="1">
      <alignment horizontal="left" wrapText="1"/>
      <protection locked="0"/>
    </xf>
    <xf numFmtId="0" fontId="1" fillId="0" borderId="14" xfId="0" applyFont="1" applyFill="1" applyBorder="1" applyAlignment="1" applyProtection="1">
      <alignment horizontal="left"/>
      <protection locked="0"/>
    </xf>
    <xf numFmtId="0" fontId="1" fillId="4" borderId="21" xfId="0" applyFont="1" applyFill="1" applyBorder="1" applyAlignment="1" applyProtection="1">
      <alignment horizontal="left"/>
      <protection locked="0"/>
    </xf>
    <xf numFmtId="0" fontId="1" fillId="4" borderId="26" xfId="0" applyFont="1" applyFill="1" applyBorder="1" applyAlignment="1" applyProtection="1">
      <alignment horizontal="left"/>
      <protection locked="0"/>
    </xf>
    <xf numFmtId="0" fontId="1" fillId="4" borderId="14" xfId="0" applyFont="1" applyFill="1" applyBorder="1" applyAlignment="1" applyProtection="1">
      <alignment horizontal="left"/>
      <protection locked="0"/>
    </xf>
    <xf numFmtId="0" fontId="1" fillId="0" borderId="51" xfId="0" applyFont="1" applyBorder="1" applyAlignment="1" applyProtection="1">
      <alignment horizontal="left"/>
      <protection locked="0"/>
    </xf>
    <xf numFmtId="0" fontId="1" fillId="0" borderId="34" xfId="0" applyFont="1" applyBorder="1" applyAlignment="1" applyProtection="1">
      <alignment horizontal="left"/>
      <protection locked="0"/>
    </xf>
    <xf numFmtId="0" fontId="1" fillId="0" borderId="52" xfId="0" applyFont="1" applyBorder="1" applyAlignment="1" applyProtection="1">
      <alignment horizontal="left"/>
      <protection locked="0"/>
    </xf>
    <xf numFmtId="0" fontId="3" fillId="0" borderId="47" xfId="0" applyFont="1" applyBorder="1" applyAlignment="1">
      <alignment horizontal="left" vertical="center"/>
    </xf>
    <xf numFmtId="0" fontId="1" fillId="0" borderId="0" xfId="0" applyFont="1" applyBorder="1" applyAlignment="1" applyProtection="1">
      <alignment horizontal="left"/>
      <protection locked="0"/>
    </xf>
    <xf numFmtId="0" fontId="1" fillId="0" borderId="49" xfId="2" applyFill="1" applyBorder="1" applyAlignment="1" applyProtection="1">
      <alignment horizontal="left"/>
      <protection locked="0"/>
    </xf>
    <xf numFmtId="0" fontId="1" fillId="0" borderId="38" xfId="2" applyFill="1" applyBorder="1" applyAlignment="1" applyProtection="1">
      <alignment horizontal="left"/>
      <protection locked="0"/>
    </xf>
    <xf numFmtId="0" fontId="1" fillId="0" borderId="72" xfId="2" applyFill="1" applyBorder="1" applyAlignment="1" applyProtection="1">
      <alignment horizontal="left"/>
      <protection locked="0"/>
    </xf>
    <xf numFmtId="0" fontId="1" fillId="0" borderId="4" xfId="2" applyFill="1" applyBorder="1" applyProtection="1">
      <protection locked="0"/>
    </xf>
    <xf numFmtId="0" fontId="1" fillId="0" borderId="1" xfId="2" applyFill="1" applyBorder="1" applyProtection="1">
      <protection locked="0"/>
    </xf>
    <xf numFmtId="0" fontId="1" fillId="0" borderId="11" xfId="2" applyFill="1" applyBorder="1" applyProtection="1">
      <protection locked="0"/>
    </xf>
    <xf numFmtId="0" fontId="1" fillId="0" borderId="0" xfId="0" applyFont="1" applyAlignment="1" applyProtection="1">
      <alignment horizontal="left"/>
      <protection locked="0"/>
    </xf>
    <xf numFmtId="0" fontId="1" fillId="0" borderId="0" xfId="0" applyFont="1" applyBorder="1" applyAlignment="1" applyProtection="1">
      <alignment horizontal="center"/>
      <protection locked="0"/>
    </xf>
    <xf numFmtId="0" fontId="7" fillId="4" borderId="59" xfId="0" applyFont="1" applyFill="1" applyBorder="1" applyAlignment="1" applyProtection="1">
      <alignment horizontal="center" vertical="center" textRotation="90" wrapText="1"/>
      <protection locked="0"/>
    </xf>
    <xf numFmtId="0" fontId="7" fillId="4" borderId="61" xfId="0" applyFont="1" applyFill="1" applyBorder="1" applyAlignment="1" applyProtection="1">
      <alignment horizontal="center" vertical="center" textRotation="90" wrapText="1"/>
      <protection locked="0"/>
    </xf>
    <xf numFmtId="0" fontId="7" fillId="4" borderId="60" xfId="0" applyFont="1" applyFill="1" applyBorder="1" applyAlignment="1" applyProtection="1">
      <alignment horizontal="center" vertical="center" textRotation="90" wrapText="1"/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1" fillId="0" borderId="0" xfId="0" applyFont="1" applyFill="1" applyAlignment="1" applyProtection="1">
      <alignment horizontal="center"/>
      <protection locked="0"/>
    </xf>
    <xf numFmtId="0" fontId="7" fillId="0" borderId="59" xfId="0" applyFont="1" applyBorder="1" applyAlignment="1" applyProtection="1">
      <alignment horizontal="center" vertical="center" textRotation="90"/>
      <protection locked="0"/>
    </xf>
    <xf numFmtId="0" fontId="7" fillId="0" borderId="61" xfId="0" applyFont="1" applyBorder="1" applyAlignment="1" applyProtection="1">
      <alignment horizontal="center" vertical="center" textRotation="90"/>
      <protection locked="0"/>
    </xf>
    <xf numFmtId="0" fontId="7" fillId="0" borderId="60" xfId="0" applyFont="1" applyBorder="1" applyAlignment="1" applyProtection="1">
      <alignment horizontal="center" vertical="center" textRotation="90"/>
      <protection locked="0"/>
    </xf>
    <xf numFmtId="0" fontId="7" fillId="11" borderId="59" xfId="0" applyFont="1" applyFill="1" applyBorder="1" applyAlignment="1" applyProtection="1">
      <alignment horizontal="center" vertical="center" textRotation="90" wrapText="1"/>
      <protection locked="0"/>
    </xf>
    <xf numFmtId="0" fontId="7" fillId="11" borderId="61" xfId="0" applyFont="1" applyFill="1" applyBorder="1" applyAlignment="1" applyProtection="1">
      <alignment horizontal="center" vertical="center" textRotation="90" wrapText="1"/>
      <protection locked="0"/>
    </xf>
    <xf numFmtId="0" fontId="7" fillId="11" borderId="60" xfId="0" applyFont="1" applyFill="1" applyBorder="1" applyAlignment="1" applyProtection="1">
      <alignment horizontal="center" vertical="center" textRotation="90" wrapText="1"/>
      <protection locked="0"/>
    </xf>
    <xf numFmtId="165" fontId="7" fillId="4" borderId="59" xfId="0" applyNumberFormat="1" applyFont="1" applyFill="1" applyBorder="1" applyAlignment="1" applyProtection="1">
      <alignment horizontal="center" vertical="center" textRotation="90"/>
      <protection locked="0"/>
    </xf>
    <xf numFmtId="165" fontId="7" fillId="4" borderId="61" xfId="0" applyNumberFormat="1" applyFont="1" applyFill="1" applyBorder="1" applyAlignment="1" applyProtection="1">
      <alignment horizontal="center" vertical="center" textRotation="90"/>
      <protection locked="0"/>
    </xf>
    <xf numFmtId="165" fontId="7" fillId="4" borderId="60" xfId="0" applyNumberFormat="1" applyFont="1" applyFill="1" applyBorder="1" applyAlignment="1" applyProtection="1">
      <alignment horizontal="center" vertical="center" textRotation="90"/>
      <protection locked="0"/>
    </xf>
    <xf numFmtId="0" fontId="1" fillId="12" borderId="0" xfId="0" applyFont="1" applyFill="1" applyAlignment="1" applyProtection="1">
      <alignment horizontal="left"/>
      <protection locked="0"/>
    </xf>
    <xf numFmtId="0" fontId="1" fillId="0" borderId="53" xfId="0" applyFont="1" applyFill="1" applyBorder="1" applyAlignment="1">
      <alignment horizontal="left"/>
    </xf>
    <xf numFmtId="0" fontId="1" fillId="0" borderId="54" xfId="0" applyFont="1" applyFill="1" applyBorder="1" applyAlignment="1">
      <alignment horizontal="left"/>
    </xf>
    <xf numFmtId="0" fontId="1" fillId="0" borderId="55" xfId="0" applyFont="1" applyFill="1" applyBorder="1" applyAlignment="1">
      <alignment horizontal="left"/>
    </xf>
    <xf numFmtId="0" fontId="1" fillId="0" borderId="5" xfId="0" applyFont="1" applyFill="1" applyBorder="1" applyAlignment="1">
      <alignment horizontal="left"/>
    </xf>
    <xf numFmtId="0" fontId="1" fillId="0" borderId="29" xfId="0" applyFont="1" applyFill="1" applyBorder="1" applyAlignment="1">
      <alignment horizontal="left"/>
    </xf>
    <xf numFmtId="0" fontId="1" fillId="0" borderId="12" xfId="0" applyFont="1" applyFill="1" applyBorder="1" applyAlignment="1">
      <alignment horizontal="left"/>
    </xf>
    <xf numFmtId="0" fontId="1" fillId="4" borderId="61" xfId="0" applyFont="1" applyFill="1" applyBorder="1" applyAlignment="1">
      <alignment horizontal="center" vertical="center"/>
    </xf>
    <xf numFmtId="0" fontId="1" fillId="4" borderId="60" xfId="0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left"/>
    </xf>
    <xf numFmtId="0" fontId="1" fillId="0" borderId="30" xfId="0" applyFont="1" applyFill="1" applyBorder="1" applyAlignment="1">
      <alignment horizontal="left"/>
    </xf>
    <xf numFmtId="0" fontId="1" fillId="0" borderId="9" xfId="0" applyFont="1" applyFill="1" applyBorder="1" applyAlignment="1">
      <alignment horizontal="left"/>
    </xf>
    <xf numFmtId="0" fontId="1" fillId="0" borderId="16" xfId="0" applyFont="1" applyFill="1" applyBorder="1" applyAlignment="1">
      <alignment horizontal="left"/>
    </xf>
    <xf numFmtId="0" fontId="1" fillId="0" borderId="2" xfId="0" applyFont="1" applyFill="1" applyBorder="1" applyAlignment="1">
      <alignment horizontal="left"/>
    </xf>
    <xf numFmtId="0" fontId="1" fillId="0" borderId="35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13" borderId="0" xfId="0" applyFont="1" applyFill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left" vertical="center"/>
      <protection locked="0"/>
    </xf>
    <xf numFmtId="0" fontId="4" fillId="0" borderId="0" xfId="0" applyFont="1" applyBorder="1" applyAlignment="1">
      <alignment horizontal="right"/>
    </xf>
    <xf numFmtId="0" fontId="1" fillId="5" borderId="49" xfId="0" applyFont="1" applyFill="1" applyBorder="1" applyAlignment="1">
      <alignment horizontal="center" vertical="center"/>
    </xf>
    <xf numFmtId="0" fontId="1" fillId="5" borderId="38" xfId="0" applyFont="1" applyFill="1" applyBorder="1" applyAlignment="1">
      <alignment horizontal="center" vertical="center"/>
    </xf>
    <xf numFmtId="0" fontId="1" fillId="5" borderId="50" xfId="0" applyFont="1" applyFill="1" applyBorder="1" applyAlignment="1">
      <alignment horizontal="center" vertical="center"/>
    </xf>
    <xf numFmtId="0" fontId="1" fillId="5" borderId="39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" fillId="5" borderId="41" xfId="0" applyFont="1" applyFill="1" applyBorder="1" applyAlignment="1">
      <alignment horizontal="center" vertical="center"/>
    </xf>
    <xf numFmtId="0" fontId="1" fillId="5" borderId="44" xfId="0" applyFont="1" applyFill="1" applyBorder="1" applyAlignment="1">
      <alignment horizontal="center" vertical="center"/>
    </xf>
    <xf numFmtId="0" fontId="1" fillId="5" borderId="43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 applyProtection="1">
      <alignment horizontal="left" vertical="center"/>
      <protection locked="0"/>
    </xf>
    <xf numFmtId="0" fontId="3" fillId="0" borderId="1" xfId="0" applyFont="1" applyFill="1" applyBorder="1" applyAlignment="1" applyProtection="1">
      <alignment horizontal="left" vertical="center"/>
      <protection locked="0"/>
    </xf>
    <xf numFmtId="0" fontId="4" fillId="8" borderId="0" xfId="0" applyFont="1" applyFill="1" applyBorder="1" applyAlignment="1" applyProtection="1">
      <alignment horizontal="left"/>
      <protection locked="0"/>
    </xf>
    <xf numFmtId="0" fontId="4" fillId="0" borderId="0" xfId="0" applyFont="1" applyBorder="1" applyAlignment="1">
      <alignment horizontal="left"/>
    </xf>
    <xf numFmtId="0" fontId="5" fillId="0" borderId="21" xfId="0" applyFont="1" applyFill="1" applyBorder="1" applyAlignment="1" applyProtection="1">
      <alignment horizontal="left" vertical="center"/>
      <protection locked="0"/>
    </xf>
    <xf numFmtId="0" fontId="5" fillId="0" borderId="26" xfId="0" applyFont="1" applyFill="1" applyBorder="1" applyAlignment="1" applyProtection="1">
      <alignment horizontal="left" vertical="center"/>
      <protection locked="0"/>
    </xf>
    <xf numFmtId="0" fontId="5" fillId="0" borderId="14" xfId="0" applyFont="1" applyFill="1" applyBorder="1" applyAlignment="1" applyProtection="1">
      <alignment horizontal="left" vertical="center"/>
      <protection locked="0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/>
    </xf>
    <xf numFmtId="0" fontId="9" fillId="0" borderId="59" xfId="2" applyFont="1" applyFill="1" applyBorder="1" applyAlignment="1">
      <alignment horizontal="center" vertical="center" textRotation="90" wrapText="1"/>
    </xf>
    <xf numFmtId="0" fontId="9" fillId="0" borderId="61" xfId="2" applyFont="1" applyFill="1" applyBorder="1" applyAlignment="1">
      <alignment horizontal="center" vertical="center" textRotation="90" wrapText="1"/>
    </xf>
    <xf numFmtId="0" fontId="9" fillId="0" borderId="60" xfId="2" applyFont="1" applyFill="1" applyBorder="1" applyAlignment="1">
      <alignment horizontal="center" vertical="center" textRotation="90" wrapText="1"/>
    </xf>
    <xf numFmtId="0" fontId="5" fillId="0" borderId="1" xfId="0" applyFont="1" applyFill="1" applyBorder="1" applyAlignment="1">
      <alignment vertical="center"/>
    </xf>
    <xf numFmtId="0" fontId="1" fillId="4" borderId="39" xfId="0" applyFont="1" applyFill="1" applyBorder="1" applyAlignment="1">
      <alignment horizontal="center" vertical="center"/>
    </xf>
    <xf numFmtId="0" fontId="1" fillId="4" borderId="44" xfId="0" applyFont="1" applyFill="1" applyBorder="1" applyAlignment="1">
      <alignment horizontal="center" vertical="center"/>
    </xf>
    <xf numFmtId="0" fontId="29" fillId="0" borderId="21" xfId="0" applyFont="1" applyFill="1" applyBorder="1" applyAlignment="1" applyProtection="1">
      <alignment horizontal="left" vertical="center" wrapText="1"/>
      <protection locked="0"/>
    </xf>
    <xf numFmtId="0" fontId="29" fillId="0" borderId="26" xfId="0" applyFont="1" applyFill="1" applyBorder="1" applyAlignment="1" applyProtection="1">
      <alignment horizontal="left" vertical="center"/>
      <protection locked="0"/>
    </xf>
    <xf numFmtId="0" fontId="29" fillId="0" borderId="14" xfId="0" applyFont="1" applyFill="1" applyBorder="1" applyAlignment="1" applyProtection="1">
      <alignment horizontal="left" vertical="center"/>
      <protection locked="0"/>
    </xf>
    <xf numFmtId="0" fontId="1" fillId="0" borderId="0" xfId="0" applyFont="1" applyBorder="1" applyAlignment="1" applyProtection="1">
      <alignment horizontal="left" wrapText="1"/>
      <protection locked="0"/>
    </xf>
    <xf numFmtId="0" fontId="4" fillId="0" borderId="0" xfId="0" applyFont="1" applyBorder="1" applyAlignment="1" applyProtection="1">
      <alignment horizontal="left"/>
      <protection locked="0"/>
    </xf>
    <xf numFmtId="0" fontId="1" fillId="0" borderId="1" xfId="0" applyFont="1" applyFill="1" applyBorder="1" applyAlignment="1">
      <alignment horizontal="left"/>
    </xf>
    <xf numFmtId="0" fontId="9" fillId="8" borderId="59" xfId="2" applyFont="1" applyFill="1" applyBorder="1" applyAlignment="1">
      <alignment horizontal="center" vertical="center" textRotation="90" wrapText="1"/>
    </xf>
    <xf numFmtId="0" fontId="9" fillId="8" borderId="61" xfId="2" applyFont="1" applyFill="1" applyBorder="1" applyAlignment="1">
      <alignment horizontal="center" vertical="center" textRotation="90" wrapText="1"/>
    </xf>
    <xf numFmtId="0" fontId="9" fillId="8" borderId="60" xfId="2" applyFont="1" applyFill="1" applyBorder="1" applyAlignment="1">
      <alignment horizontal="center" vertical="center" textRotation="90" wrapText="1"/>
    </xf>
    <xf numFmtId="0" fontId="1" fillId="0" borderId="51" xfId="2" applyFont="1" applyFill="1" applyBorder="1" applyAlignment="1">
      <alignment horizontal="left" vertical="center"/>
    </xf>
    <xf numFmtId="0" fontId="1" fillId="0" borderId="34" xfId="2" applyFont="1" applyFill="1" applyBorder="1" applyAlignment="1">
      <alignment horizontal="left" vertical="center"/>
    </xf>
    <xf numFmtId="0" fontId="1" fillId="0" borderId="52" xfId="2" applyFont="1" applyFill="1" applyBorder="1" applyAlignment="1">
      <alignment horizontal="left" vertical="center"/>
    </xf>
    <xf numFmtId="0" fontId="1" fillId="4" borderId="59" xfId="0" applyFont="1" applyFill="1" applyBorder="1" applyAlignment="1">
      <alignment horizontal="center" vertical="center"/>
    </xf>
    <xf numFmtId="0" fontId="2" fillId="5" borderId="71" xfId="0" applyFont="1" applyFill="1" applyBorder="1" applyAlignment="1">
      <alignment horizontal="center"/>
    </xf>
    <xf numFmtId="0" fontId="2" fillId="5" borderId="23" xfId="0" applyFont="1" applyFill="1" applyBorder="1" applyAlignment="1">
      <alignment horizontal="center"/>
    </xf>
    <xf numFmtId="0" fontId="1" fillId="5" borderId="23" xfId="0" applyFont="1" applyFill="1" applyBorder="1" applyAlignment="1">
      <alignment horizontal="center"/>
    </xf>
    <xf numFmtId="0" fontId="1" fillId="0" borderId="0" xfId="0" applyFont="1" applyFill="1" applyAlignment="1">
      <alignment horizontal="right"/>
    </xf>
    <xf numFmtId="0" fontId="1" fillId="0" borderId="38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4" borderId="46" xfId="0" applyFont="1" applyFill="1" applyBorder="1" applyAlignment="1">
      <alignment horizontal="center" vertical="center"/>
    </xf>
    <xf numFmtId="0" fontId="1" fillId="4" borderId="44" xfId="0" applyFont="1" applyFill="1" applyBorder="1"/>
    <xf numFmtId="0" fontId="3" fillId="0" borderId="21" xfId="0" applyFont="1" applyFill="1" applyBorder="1" applyAlignment="1" applyProtection="1">
      <alignment horizontal="left" vertical="center"/>
      <protection locked="0"/>
    </xf>
    <xf numFmtId="0" fontId="3" fillId="0" borderId="26" xfId="0" applyFont="1" applyFill="1" applyBorder="1" applyAlignment="1" applyProtection="1">
      <alignment horizontal="left" vertical="center"/>
      <protection locked="0"/>
    </xf>
    <xf numFmtId="0" fontId="2" fillId="5" borderId="21" xfId="0" applyFont="1" applyFill="1" applyBorder="1" applyAlignment="1">
      <alignment horizontal="center"/>
    </xf>
    <xf numFmtId="0" fontId="2" fillId="5" borderId="26" xfId="0" applyFont="1" applyFill="1" applyBorder="1" applyAlignment="1">
      <alignment horizontal="center"/>
    </xf>
    <xf numFmtId="0" fontId="1" fillId="5" borderId="14" xfId="0" applyFont="1" applyFill="1" applyBorder="1" applyAlignment="1">
      <alignment horizontal="center"/>
    </xf>
    <xf numFmtId="0" fontId="1" fillId="0" borderId="0" xfId="0" applyFont="1" applyBorder="1" applyAlignment="1">
      <alignment horizontal="right"/>
    </xf>
    <xf numFmtId="0" fontId="3" fillId="5" borderId="37" xfId="0" applyFont="1" applyFill="1" applyBorder="1" applyAlignment="1">
      <alignment horizontal="center" vertical="center" textRotation="90" wrapText="1"/>
    </xf>
    <xf numFmtId="0" fontId="3" fillId="5" borderId="10" xfId="0" applyFont="1" applyFill="1" applyBorder="1" applyAlignment="1">
      <alignment horizontal="center" vertical="center" textRotation="90"/>
    </xf>
    <xf numFmtId="0" fontId="1" fillId="0" borderId="46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2" fillId="5" borderId="25" xfId="0" applyFont="1" applyFill="1" applyBorder="1" applyAlignment="1">
      <alignment horizontal="center"/>
    </xf>
    <xf numFmtId="0" fontId="2" fillId="5" borderId="64" xfId="0" applyFont="1" applyFill="1" applyBorder="1" applyAlignment="1" applyProtection="1">
      <alignment horizontal="center" vertical="center"/>
      <protection locked="0"/>
    </xf>
    <xf numFmtId="0" fontId="2" fillId="5" borderId="65" xfId="0" applyFont="1" applyFill="1" applyBorder="1" applyAlignment="1" applyProtection="1">
      <alignment horizontal="center" vertical="center"/>
      <protection locked="0"/>
    </xf>
    <xf numFmtId="0" fontId="3" fillId="0" borderId="25" xfId="2" applyFont="1" applyFill="1" applyBorder="1" applyAlignment="1">
      <alignment horizontal="left" wrapText="1"/>
    </xf>
    <xf numFmtId="0" fontId="3" fillId="0" borderId="26" xfId="2" applyFont="1" applyFill="1" applyBorder="1" applyAlignment="1">
      <alignment horizontal="left" wrapText="1"/>
    </xf>
    <xf numFmtId="0" fontId="3" fillId="0" borderId="27" xfId="2" applyFont="1" applyFill="1" applyBorder="1" applyAlignment="1">
      <alignment horizontal="left" wrapText="1"/>
    </xf>
    <xf numFmtId="0" fontId="3" fillId="0" borderId="22" xfId="2" applyFont="1" applyFill="1" applyBorder="1" applyAlignment="1">
      <alignment horizontal="left" wrapText="1"/>
    </xf>
    <xf numFmtId="0" fontId="3" fillId="0" borderId="23" xfId="2" applyFont="1" applyFill="1" applyBorder="1" applyAlignment="1">
      <alignment horizontal="left" wrapText="1"/>
    </xf>
    <xf numFmtId="0" fontId="3" fillId="0" borderId="24" xfId="2" applyFont="1" applyFill="1" applyBorder="1" applyAlignment="1">
      <alignment horizontal="left" wrapText="1"/>
    </xf>
    <xf numFmtId="0" fontId="3" fillId="0" borderId="53" xfId="2" applyFont="1" applyFill="1" applyBorder="1" applyAlignment="1">
      <alignment horizontal="left" wrapText="1"/>
    </xf>
    <xf numFmtId="0" fontId="3" fillId="0" borderId="54" xfId="2" applyFont="1" applyFill="1" applyBorder="1" applyAlignment="1">
      <alignment horizontal="left" wrapText="1"/>
    </xf>
    <xf numFmtId="0" fontId="3" fillId="0" borderId="55" xfId="2" applyFont="1" applyFill="1" applyBorder="1" applyAlignment="1">
      <alignment horizontal="left" wrapText="1"/>
    </xf>
    <xf numFmtId="0" fontId="1" fillId="0" borderId="15" xfId="0" applyFont="1" applyFill="1" applyBorder="1" applyAlignment="1">
      <alignment horizontal="left"/>
    </xf>
    <xf numFmtId="0" fontId="1" fillId="0" borderId="51" xfId="2" applyFont="1" applyFill="1" applyBorder="1" applyAlignment="1">
      <alignment horizontal="left"/>
    </xf>
    <xf numFmtId="0" fontId="1" fillId="0" borderId="34" xfId="2" applyFont="1" applyFill="1" applyBorder="1" applyAlignment="1">
      <alignment horizontal="left"/>
    </xf>
    <xf numFmtId="0" fontId="1" fillId="0" borderId="52" xfId="2" applyFont="1" applyFill="1" applyBorder="1" applyAlignment="1">
      <alignment horizontal="left"/>
    </xf>
    <xf numFmtId="0" fontId="1" fillId="0" borderId="0" xfId="0" applyFont="1" applyBorder="1" applyAlignment="1">
      <alignment horizontal="center" vertical="center" textRotation="90"/>
    </xf>
    <xf numFmtId="0" fontId="1" fillId="0" borderId="56" xfId="0" applyFont="1" applyBorder="1" applyAlignment="1">
      <alignment horizontal="center" vertical="center" textRotation="90"/>
    </xf>
    <xf numFmtId="0" fontId="1" fillId="0" borderId="45" xfId="0" applyFont="1" applyBorder="1" applyAlignment="1">
      <alignment horizontal="center" vertical="center" textRotation="90"/>
    </xf>
    <xf numFmtId="0" fontId="1" fillId="0" borderId="22" xfId="0" applyFont="1" applyFill="1" applyBorder="1" applyAlignment="1" applyProtection="1">
      <alignment horizontal="left"/>
      <protection locked="0"/>
    </xf>
    <xf numFmtId="0" fontId="1" fillId="0" borderId="23" xfId="0" applyFont="1" applyFill="1" applyBorder="1" applyAlignment="1" applyProtection="1">
      <alignment horizontal="left"/>
      <protection locked="0"/>
    </xf>
    <xf numFmtId="0" fontId="1" fillId="0" borderId="24" xfId="0" applyFont="1" applyFill="1" applyBorder="1" applyAlignment="1" applyProtection="1">
      <alignment horizontal="left"/>
      <protection locked="0"/>
    </xf>
    <xf numFmtId="0" fontId="3" fillId="0" borderId="47" xfId="0" applyFont="1" applyFill="1" applyBorder="1" applyAlignment="1" applyProtection="1">
      <alignment horizontal="center"/>
      <protection locked="0"/>
    </xf>
    <xf numFmtId="0" fontId="3" fillId="0" borderId="0" xfId="0" applyFont="1" applyBorder="1" applyAlignment="1">
      <alignment horizontal="left" vertical="center"/>
    </xf>
    <xf numFmtId="0" fontId="1" fillId="9" borderId="59" xfId="0" applyFont="1" applyFill="1" applyBorder="1" applyAlignment="1">
      <alignment horizontal="center" vertical="center" textRotation="90"/>
    </xf>
    <xf numFmtId="0" fontId="1" fillId="9" borderId="61" xfId="0" applyFont="1" applyFill="1" applyBorder="1" applyAlignment="1">
      <alignment horizontal="center" vertical="center" textRotation="90"/>
    </xf>
    <xf numFmtId="0" fontId="1" fillId="9" borderId="60" xfId="0" applyFont="1" applyFill="1" applyBorder="1" applyAlignment="1">
      <alignment horizontal="center" vertical="center" textRotation="90"/>
    </xf>
    <xf numFmtId="0" fontId="1" fillId="0" borderId="25" xfId="0" applyFont="1" applyFill="1" applyBorder="1" applyAlignment="1" applyProtection="1">
      <protection locked="0"/>
    </xf>
    <xf numFmtId="0" fontId="1" fillId="0" borderId="26" xfId="0" applyFont="1" applyFill="1" applyBorder="1" applyAlignment="1" applyProtection="1">
      <protection locked="0"/>
    </xf>
    <xf numFmtId="0" fontId="1" fillId="0" borderId="27" xfId="0" applyFont="1" applyFill="1" applyBorder="1" applyAlignment="1" applyProtection="1">
      <protection locked="0"/>
    </xf>
    <xf numFmtId="0" fontId="10" fillId="0" borderId="25" xfId="0" applyFont="1" applyFill="1" applyBorder="1" applyAlignment="1" applyProtection="1">
      <alignment horizontal="left"/>
      <protection locked="0"/>
    </xf>
    <xf numFmtId="0" fontId="10" fillId="0" borderId="26" xfId="0" applyFont="1" applyFill="1" applyBorder="1" applyAlignment="1" applyProtection="1">
      <alignment horizontal="left"/>
      <protection locked="0"/>
    </xf>
    <xf numFmtId="0" fontId="10" fillId="0" borderId="27" xfId="0" applyFont="1" applyFill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1" fillId="8" borderId="3" xfId="0" applyFont="1" applyFill="1" applyBorder="1" applyAlignment="1">
      <alignment horizontal="center"/>
    </xf>
    <xf numFmtId="0" fontId="1" fillId="8" borderId="9" xfId="0" applyFont="1" applyFill="1" applyBorder="1" applyAlignment="1">
      <alignment horizontal="center"/>
    </xf>
    <xf numFmtId="0" fontId="1" fillId="8" borderId="30" xfId="0" applyFont="1" applyFill="1" applyBorder="1" applyAlignment="1">
      <alignment horizontal="center"/>
    </xf>
    <xf numFmtId="0" fontId="1" fillId="8" borderId="34" xfId="0" applyFont="1" applyFill="1" applyBorder="1" applyAlignment="1">
      <alignment horizontal="center"/>
    </xf>
    <xf numFmtId="0" fontId="1" fillId="8" borderId="52" xfId="0" applyFont="1" applyFill="1" applyBorder="1" applyAlignment="1">
      <alignment horizontal="center"/>
    </xf>
    <xf numFmtId="0" fontId="0" fillId="0" borderId="0" xfId="0" applyAlignment="1" applyProtection="1">
      <alignment horizontal="left"/>
      <protection locked="0"/>
    </xf>
    <xf numFmtId="0" fontId="6" fillId="3" borderId="59" xfId="2" applyFont="1" applyFill="1" applyBorder="1" applyAlignment="1">
      <alignment horizontal="center" vertical="center" textRotation="90" wrapText="1"/>
    </xf>
    <xf numFmtId="0" fontId="6" fillId="3" borderId="60" xfId="2" applyFont="1" applyFill="1" applyBorder="1" applyAlignment="1">
      <alignment horizontal="center" vertical="center" textRotation="90" wrapText="1"/>
    </xf>
    <xf numFmtId="0" fontId="3" fillId="0" borderId="51" xfId="2" applyFont="1" applyBorder="1" applyAlignment="1">
      <alignment horizontal="left" vertical="center"/>
    </xf>
    <xf numFmtId="0" fontId="3" fillId="0" borderId="34" xfId="2" applyFont="1" applyBorder="1" applyAlignment="1">
      <alignment horizontal="left" vertical="center"/>
    </xf>
    <xf numFmtId="0" fontId="3" fillId="0" borderId="52" xfId="2" applyFont="1" applyBorder="1" applyAlignment="1">
      <alignment horizontal="left" vertical="center"/>
    </xf>
    <xf numFmtId="0" fontId="3" fillId="0" borderId="53" xfId="2" applyFont="1" applyBorder="1" applyAlignment="1">
      <alignment horizontal="left" vertical="center"/>
    </xf>
    <xf numFmtId="0" fontId="3" fillId="0" borderId="54" xfId="2" applyFont="1" applyBorder="1" applyAlignment="1">
      <alignment horizontal="left" vertical="center"/>
    </xf>
    <xf numFmtId="0" fontId="3" fillId="0" borderId="55" xfId="2" applyFont="1" applyBorder="1" applyAlignment="1">
      <alignment horizontal="left" vertical="center"/>
    </xf>
    <xf numFmtId="0" fontId="11" fillId="0" borderId="44" xfId="0" applyFont="1" applyFill="1" applyBorder="1" applyAlignment="1" applyProtection="1">
      <alignment horizontal="left"/>
      <protection locked="0"/>
    </xf>
    <xf numFmtId="0" fontId="11" fillId="0" borderId="45" xfId="0" applyFont="1" applyFill="1" applyBorder="1" applyAlignment="1" applyProtection="1">
      <alignment horizontal="left"/>
      <protection locked="0"/>
    </xf>
    <xf numFmtId="0" fontId="1" fillId="0" borderId="51" xfId="2" applyFont="1" applyBorder="1" applyAlignment="1">
      <alignment horizontal="left" vertical="center"/>
    </xf>
    <xf numFmtId="0" fontId="1" fillId="0" borderId="34" xfId="2" applyFont="1" applyBorder="1" applyAlignment="1">
      <alignment horizontal="left" vertical="center"/>
    </xf>
    <xf numFmtId="0" fontId="1" fillId="0" borderId="52" xfId="2" applyFont="1" applyBorder="1" applyAlignment="1">
      <alignment horizontal="left" vertical="center"/>
    </xf>
    <xf numFmtId="0" fontId="2" fillId="5" borderId="14" xfId="0" applyFont="1" applyFill="1" applyBorder="1" applyAlignment="1">
      <alignment horizontal="center"/>
    </xf>
    <xf numFmtId="0" fontId="1" fillId="5" borderId="25" xfId="0" applyFont="1" applyFill="1" applyBorder="1" applyAlignment="1">
      <alignment horizontal="center"/>
    </xf>
    <xf numFmtId="0" fontId="1" fillId="0" borderId="53" xfId="2" applyFont="1" applyFill="1" applyBorder="1" applyAlignment="1">
      <alignment horizontal="left"/>
    </xf>
    <xf numFmtId="0" fontId="1" fillId="0" borderId="54" xfId="2" applyFont="1" applyFill="1" applyBorder="1" applyAlignment="1">
      <alignment horizontal="left"/>
    </xf>
    <xf numFmtId="0" fontId="1" fillId="0" borderId="55" xfId="2" applyFont="1" applyFill="1" applyBorder="1" applyAlignment="1">
      <alignment horizontal="left"/>
    </xf>
    <xf numFmtId="0" fontId="11" fillId="3" borderId="19" xfId="2" applyFont="1" applyFill="1" applyBorder="1" applyAlignment="1" applyProtection="1">
      <alignment horizontal="left"/>
      <protection locked="0"/>
    </xf>
    <xf numFmtId="0" fontId="1" fillId="3" borderId="28" xfId="2" applyFont="1" applyFill="1" applyBorder="1" applyAlignment="1" applyProtection="1">
      <alignment horizontal="left"/>
      <protection locked="0"/>
    </xf>
    <xf numFmtId="0" fontId="11" fillId="3" borderId="10" xfId="2" applyFont="1" applyFill="1" applyBorder="1" applyAlignment="1" applyProtection="1">
      <alignment horizontal="left"/>
      <protection locked="0"/>
    </xf>
    <xf numFmtId="0" fontId="1" fillId="0" borderId="48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1" fillId="5" borderId="59" xfId="0" applyFont="1" applyFill="1" applyBorder="1" applyAlignment="1">
      <alignment horizontal="center" vertical="center" textRotation="90"/>
    </xf>
    <xf numFmtId="0" fontId="1" fillId="5" borderId="60" xfId="0" applyFont="1" applyFill="1" applyBorder="1" applyAlignment="1">
      <alignment horizontal="center" vertical="center" textRotation="90"/>
    </xf>
    <xf numFmtId="0" fontId="1" fillId="0" borderId="22" xfId="0" applyFont="1" applyFill="1" applyBorder="1" applyAlignment="1" applyProtection="1">
      <protection locked="0"/>
    </xf>
    <xf numFmtId="0" fontId="1" fillId="0" borderId="23" xfId="0" applyFont="1" applyFill="1" applyBorder="1" applyAlignment="1" applyProtection="1">
      <protection locked="0"/>
    </xf>
    <xf numFmtId="0" fontId="1" fillId="0" borderId="24" xfId="0" applyFont="1" applyFill="1" applyBorder="1" applyAlignment="1" applyProtection="1">
      <protection locked="0"/>
    </xf>
    <xf numFmtId="0" fontId="1" fillId="0" borderId="53" xfId="0" applyFont="1" applyFill="1" applyBorder="1" applyAlignment="1" applyProtection="1">
      <protection locked="0"/>
    </xf>
    <xf numFmtId="0" fontId="1" fillId="0" borderId="54" xfId="0" applyFont="1" applyFill="1" applyBorder="1" applyAlignment="1" applyProtection="1">
      <protection locked="0"/>
    </xf>
    <xf numFmtId="0" fontId="1" fillId="0" borderId="55" xfId="0" applyFont="1" applyFill="1" applyBorder="1" applyAlignment="1" applyProtection="1">
      <protection locked="0"/>
    </xf>
    <xf numFmtId="0" fontId="22" fillId="0" borderId="25" xfId="0" applyFont="1" applyFill="1" applyBorder="1" applyAlignment="1" applyProtection="1">
      <alignment horizontal="left"/>
      <protection locked="0"/>
    </xf>
    <xf numFmtId="0" fontId="22" fillId="0" borderId="26" xfId="0" applyFont="1" applyFill="1" applyBorder="1" applyAlignment="1" applyProtection="1">
      <alignment horizontal="left"/>
      <protection locked="0"/>
    </xf>
    <xf numFmtId="0" fontId="22" fillId="0" borderId="27" xfId="0" applyFont="1" applyFill="1" applyBorder="1" applyAlignment="1" applyProtection="1">
      <alignment horizontal="left"/>
      <protection locked="0"/>
    </xf>
    <xf numFmtId="0" fontId="22" fillId="0" borderId="22" xfId="0" applyFont="1" applyFill="1" applyBorder="1" applyAlignment="1" applyProtection="1">
      <alignment horizontal="left"/>
      <protection locked="0"/>
    </xf>
    <xf numFmtId="0" fontId="22" fillId="0" borderId="23" xfId="0" applyFont="1" applyFill="1" applyBorder="1" applyAlignment="1" applyProtection="1">
      <alignment horizontal="left"/>
      <protection locked="0"/>
    </xf>
    <xf numFmtId="0" fontId="22" fillId="0" borderId="24" xfId="0" applyFont="1" applyFill="1" applyBorder="1" applyAlignment="1" applyProtection="1">
      <alignment horizontal="left"/>
      <protection locked="0"/>
    </xf>
    <xf numFmtId="0" fontId="1" fillId="0" borderId="51" xfId="0" applyFont="1" applyFill="1" applyBorder="1" applyAlignment="1" applyProtection="1">
      <protection locked="0"/>
    </xf>
    <xf numFmtId="0" fontId="1" fillId="0" borderId="34" xfId="0" applyFont="1" applyFill="1" applyBorder="1" applyAlignment="1" applyProtection="1">
      <protection locked="0"/>
    </xf>
    <xf numFmtId="0" fontId="1" fillId="0" borderId="52" xfId="0" applyFont="1" applyFill="1" applyBorder="1" applyAlignment="1" applyProtection="1">
      <protection locked="0"/>
    </xf>
    <xf numFmtId="0" fontId="22" fillId="0" borderId="51" xfId="0" applyFont="1" applyFill="1" applyBorder="1" applyAlignment="1" applyProtection="1">
      <alignment horizontal="left"/>
      <protection locked="0"/>
    </xf>
    <xf numFmtId="0" fontId="22" fillId="0" borderId="34" xfId="0" applyFont="1" applyFill="1" applyBorder="1" applyAlignment="1" applyProtection="1">
      <alignment horizontal="left"/>
      <protection locked="0"/>
    </xf>
    <xf numFmtId="0" fontId="22" fillId="0" borderId="52" xfId="0" applyFont="1" applyFill="1" applyBorder="1" applyAlignment="1" applyProtection="1">
      <alignment horizontal="left"/>
      <protection locked="0"/>
    </xf>
    <xf numFmtId="0" fontId="22" fillId="0" borderId="44" xfId="0" applyFont="1" applyFill="1" applyBorder="1" applyAlignment="1" applyProtection="1">
      <alignment horizontal="left"/>
      <protection locked="0"/>
    </xf>
    <xf numFmtId="0" fontId="22" fillId="0" borderId="43" xfId="0" applyFont="1" applyFill="1" applyBorder="1" applyAlignment="1" applyProtection="1">
      <alignment horizontal="left"/>
      <protection locked="0"/>
    </xf>
    <xf numFmtId="0" fontId="22" fillId="0" borderId="45" xfId="0" applyFont="1" applyFill="1" applyBorder="1" applyAlignment="1" applyProtection="1">
      <alignment horizontal="left"/>
      <protection locked="0"/>
    </xf>
    <xf numFmtId="0" fontId="1" fillId="0" borderId="22" xfId="2" applyFont="1" applyFill="1" applyBorder="1" applyAlignment="1" applyProtection="1">
      <alignment horizontal="left"/>
      <protection locked="0"/>
    </xf>
    <xf numFmtId="0" fontId="1" fillId="0" borderId="23" xfId="2" applyFont="1" applyFill="1" applyBorder="1" applyAlignment="1" applyProtection="1">
      <alignment horizontal="left"/>
      <protection locked="0"/>
    </xf>
    <xf numFmtId="0" fontId="1" fillId="0" borderId="24" xfId="2" applyFont="1" applyFill="1" applyBorder="1" applyAlignment="1" applyProtection="1">
      <alignment horizontal="left"/>
      <protection locked="0"/>
    </xf>
    <xf numFmtId="0" fontId="1" fillId="0" borderId="25" xfId="2" applyFont="1" applyFill="1" applyBorder="1" applyAlignment="1" applyProtection="1">
      <alignment horizontal="left"/>
      <protection locked="0"/>
    </xf>
    <xf numFmtId="0" fontId="1" fillId="0" borderId="26" xfId="2" applyFont="1" applyFill="1" applyBorder="1" applyAlignment="1" applyProtection="1">
      <alignment horizontal="left"/>
      <protection locked="0"/>
    </xf>
    <xf numFmtId="0" fontId="1" fillId="0" borderId="27" xfId="2" applyFont="1" applyFill="1" applyBorder="1" applyAlignment="1" applyProtection="1">
      <alignment horizontal="left"/>
      <protection locked="0"/>
    </xf>
    <xf numFmtId="0" fontId="1" fillId="3" borderId="3" xfId="2" applyFont="1" applyFill="1" applyBorder="1" applyAlignment="1" applyProtection="1">
      <protection locked="0"/>
    </xf>
    <xf numFmtId="0" fontId="1" fillId="3" borderId="30" xfId="2" applyFont="1" applyFill="1" applyBorder="1" applyAlignment="1" applyProtection="1">
      <protection locked="0"/>
    </xf>
    <xf numFmtId="0" fontId="1" fillId="3" borderId="9" xfId="2" applyFont="1" applyFill="1" applyBorder="1" applyAlignment="1" applyProtection="1">
      <protection locked="0"/>
    </xf>
    <xf numFmtId="0" fontId="1" fillId="3" borderId="20" xfId="2" applyFont="1" applyFill="1" applyBorder="1" applyAlignment="1" applyProtection="1">
      <protection locked="0"/>
    </xf>
    <xf numFmtId="0" fontId="1" fillId="3" borderId="2" xfId="2" applyFont="1" applyFill="1" applyBorder="1" applyAlignment="1" applyProtection="1">
      <protection locked="0"/>
    </xf>
    <xf numFmtId="0" fontId="1" fillId="3" borderId="35" xfId="2" applyFont="1" applyFill="1" applyBorder="1" applyAlignment="1" applyProtection="1">
      <protection locked="0"/>
    </xf>
    <xf numFmtId="0" fontId="1" fillId="0" borderId="53" xfId="2" applyFont="1" applyFill="1" applyBorder="1" applyAlignment="1" applyProtection="1">
      <alignment horizontal="left"/>
      <protection locked="0"/>
    </xf>
    <xf numFmtId="0" fontId="1" fillId="0" borderId="54" xfId="2" applyFont="1" applyFill="1" applyBorder="1" applyAlignment="1" applyProtection="1">
      <alignment horizontal="left"/>
      <protection locked="0"/>
    </xf>
    <xf numFmtId="0" fontId="1" fillId="0" borderId="55" xfId="2" applyFont="1" applyFill="1" applyBorder="1" applyAlignment="1" applyProtection="1">
      <alignment horizontal="left"/>
      <protection locked="0"/>
    </xf>
    <xf numFmtId="0" fontId="1" fillId="0" borderId="25" xfId="2" applyFont="1" applyFill="1" applyBorder="1" applyAlignment="1"/>
    <xf numFmtId="0" fontId="1" fillId="0" borderId="26" xfId="2" applyFont="1" applyFill="1" applyBorder="1" applyAlignment="1"/>
    <xf numFmtId="0" fontId="1" fillId="0" borderId="27" xfId="2" applyFont="1" applyFill="1" applyBorder="1" applyAlignment="1"/>
    <xf numFmtId="0" fontId="1" fillId="0" borderId="25" xfId="2" applyFont="1" applyFill="1" applyBorder="1" applyAlignment="1" applyProtection="1">
      <protection locked="0"/>
    </xf>
    <xf numFmtId="0" fontId="1" fillId="0" borderId="26" xfId="2" applyFont="1" applyFill="1" applyBorder="1" applyAlignment="1" applyProtection="1">
      <protection locked="0"/>
    </xf>
    <xf numFmtId="0" fontId="1" fillId="0" borderId="27" xfId="2" applyFont="1" applyFill="1" applyBorder="1" applyAlignment="1" applyProtection="1">
      <protection locked="0"/>
    </xf>
    <xf numFmtId="0" fontId="1" fillId="3" borderId="51" xfId="2" applyFont="1" applyFill="1" applyBorder="1" applyAlignment="1" applyProtection="1">
      <protection locked="0"/>
    </xf>
    <xf numFmtId="0" fontId="1" fillId="3" borderId="34" xfId="2" applyFont="1" applyFill="1" applyBorder="1" applyAlignment="1" applyProtection="1">
      <protection locked="0"/>
    </xf>
    <xf numFmtId="0" fontId="1" fillId="3" borderId="52" xfId="2" applyFont="1" applyFill="1" applyBorder="1" applyAlignment="1" applyProtection="1">
      <protection locked="0"/>
    </xf>
    <xf numFmtId="0" fontId="1" fillId="0" borderId="4" xfId="2" applyFont="1" applyFill="1" applyBorder="1" applyAlignment="1" applyProtection="1">
      <protection locked="0"/>
    </xf>
    <xf numFmtId="0" fontId="1" fillId="0" borderId="1" xfId="2" applyFont="1" applyFill="1" applyBorder="1" applyAlignment="1" applyProtection="1">
      <protection locked="0"/>
    </xf>
    <xf numFmtId="0" fontId="1" fillId="0" borderId="11" xfId="2" applyFont="1" applyFill="1" applyBorder="1" applyAlignment="1" applyProtection="1">
      <protection locked="0"/>
    </xf>
    <xf numFmtId="0" fontId="1" fillId="0" borderId="51" xfId="2" applyFont="1" applyFill="1" applyBorder="1" applyAlignment="1" applyProtection="1">
      <protection locked="0"/>
    </xf>
    <xf numFmtId="0" fontId="1" fillId="0" borderId="34" xfId="2" applyFont="1" applyFill="1" applyBorder="1" applyAlignment="1" applyProtection="1">
      <protection locked="0"/>
    </xf>
    <xf numFmtId="0" fontId="1" fillId="0" borderId="52" xfId="2" applyFont="1" applyFill="1" applyBorder="1" applyAlignment="1" applyProtection="1">
      <protection locked="0"/>
    </xf>
    <xf numFmtId="0" fontId="1" fillId="0" borderId="20" xfId="2" applyFont="1" applyFill="1" applyBorder="1"/>
    <xf numFmtId="0" fontId="1" fillId="0" borderId="2" xfId="2" applyFont="1" applyFill="1" applyBorder="1"/>
    <xf numFmtId="0" fontId="1" fillId="0" borderId="35" xfId="2" applyFont="1" applyFill="1" applyBorder="1"/>
    <xf numFmtId="0" fontId="1" fillId="0" borderId="51" xfId="2" applyFont="1" applyFill="1" applyBorder="1" applyAlignment="1" applyProtection="1">
      <alignment horizontal="left"/>
      <protection locked="0"/>
    </xf>
    <xf numFmtId="0" fontId="1" fillId="0" borderId="34" xfId="2" applyFont="1" applyFill="1" applyBorder="1" applyAlignment="1" applyProtection="1">
      <alignment horizontal="left"/>
      <protection locked="0"/>
    </xf>
    <xf numFmtId="0" fontId="1" fillId="0" borderId="52" xfId="2" applyFont="1" applyFill="1" applyBorder="1" applyAlignment="1" applyProtection="1">
      <alignment horizontal="left"/>
      <protection locked="0"/>
    </xf>
    <xf numFmtId="0" fontId="1" fillId="0" borderId="20" xfId="2" applyFont="1" applyFill="1" applyBorder="1" applyAlignment="1" applyProtection="1">
      <protection locked="0"/>
    </xf>
    <xf numFmtId="0" fontId="1" fillId="0" borderId="2" xfId="2" applyFont="1" applyFill="1" applyBorder="1" applyAlignment="1" applyProtection="1">
      <protection locked="0"/>
    </xf>
    <xf numFmtId="0" fontId="1" fillId="0" borderId="35" xfId="2" applyFont="1" applyFill="1" applyBorder="1" applyAlignment="1" applyProtection="1">
      <protection locked="0"/>
    </xf>
    <xf numFmtId="0" fontId="1" fillId="5" borderId="18" xfId="0" applyFont="1" applyFill="1" applyBorder="1" applyAlignment="1">
      <alignment horizontal="center" vertical="center"/>
    </xf>
    <xf numFmtId="0" fontId="1" fillId="0" borderId="22" xfId="2" applyFont="1" applyFill="1" applyBorder="1" applyAlignment="1">
      <alignment horizontal="left"/>
    </xf>
    <xf numFmtId="0" fontId="1" fillId="0" borderId="23" xfId="2" applyFont="1" applyFill="1" applyBorder="1" applyAlignment="1">
      <alignment horizontal="left"/>
    </xf>
    <xf numFmtId="0" fontId="1" fillId="0" borderId="24" xfId="2" applyFont="1" applyFill="1" applyBorder="1" applyAlignment="1">
      <alignment horizontal="left"/>
    </xf>
    <xf numFmtId="0" fontId="3" fillId="0" borderId="51" xfId="2" applyFont="1" applyFill="1" applyBorder="1" applyAlignment="1">
      <alignment horizontal="left" wrapText="1"/>
    </xf>
    <xf numFmtId="0" fontId="3" fillId="0" borderId="34" xfId="2" applyFont="1" applyFill="1" applyBorder="1" applyAlignment="1">
      <alignment horizontal="left" wrapText="1"/>
    </xf>
    <xf numFmtId="0" fontId="3" fillId="0" borderId="52" xfId="2" applyFont="1" applyFill="1" applyBorder="1" applyAlignment="1">
      <alignment horizontal="left" wrapText="1"/>
    </xf>
    <xf numFmtId="0" fontId="1" fillId="0" borderId="44" xfId="2" applyFont="1" applyFill="1" applyBorder="1" applyAlignment="1">
      <alignment horizontal="left"/>
    </xf>
    <xf numFmtId="0" fontId="1" fillId="0" borderId="43" xfId="2" applyFont="1" applyFill="1" applyBorder="1" applyAlignment="1">
      <alignment horizontal="left"/>
    </xf>
    <xf numFmtId="0" fontId="1" fillId="0" borderId="45" xfId="2" applyFont="1" applyFill="1" applyBorder="1" applyAlignment="1">
      <alignment horizontal="left"/>
    </xf>
    <xf numFmtId="0" fontId="11" fillId="3" borderId="4" xfId="2" applyFont="1" applyFill="1" applyBorder="1" applyAlignment="1" applyProtection="1">
      <alignment horizontal="left"/>
      <protection locked="0"/>
    </xf>
    <xf numFmtId="0" fontId="1" fillId="3" borderId="1" xfId="2" applyFont="1" applyFill="1" applyBorder="1" applyAlignment="1" applyProtection="1">
      <alignment horizontal="left"/>
      <protection locked="0"/>
    </xf>
    <xf numFmtId="0" fontId="11" fillId="3" borderId="11" xfId="2" applyFont="1" applyFill="1" applyBorder="1" applyAlignment="1" applyProtection="1">
      <alignment horizontal="lef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4" borderId="1" xfId="0" applyFont="1" applyFill="1" applyBorder="1" applyAlignment="1" applyProtection="1">
      <alignment horizontal="left"/>
      <protection locked="0"/>
    </xf>
    <xf numFmtId="0" fontId="3" fillId="0" borderId="1" xfId="0" applyFont="1" applyFill="1" applyBorder="1" applyAlignment="1" applyProtection="1">
      <alignment horizontal="left"/>
      <protection locked="0"/>
    </xf>
    <xf numFmtId="0" fontId="1" fillId="5" borderId="21" xfId="0" applyFont="1" applyFill="1" applyBorder="1" applyAlignment="1">
      <alignment horizontal="center"/>
    </xf>
    <xf numFmtId="0" fontId="0" fillId="0" borderId="38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 vertical="top" wrapText="1"/>
    </xf>
    <xf numFmtId="0" fontId="2" fillId="0" borderId="1" xfId="0" applyFont="1" applyBorder="1" applyAlignment="1">
      <alignment horizontal="left" vertical="top" wrapText="1"/>
    </xf>
    <xf numFmtId="0" fontId="1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left" vertical="top"/>
    </xf>
    <xf numFmtId="0" fontId="12" fillId="0" borderId="0" xfId="0" applyFont="1" applyAlignment="1">
      <alignment horizontal="left" vertical="top" wrapText="1"/>
    </xf>
    <xf numFmtId="0" fontId="1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10" fillId="0" borderId="1" xfId="0" applyFont="1" applyBorder="1" applyAlignment="1">
      <alignment horizontal="center" vertical="center" wrapText="1"/>
    </xf>
  </cellXfs>
  <cellStyles count="4">
    <cellStyle name="Hyperlink" xfId="3" builtinId="8"/>
    <cellStyle name="Normal" xfId="0" builtinId="0"/>
    <cellStyle name="Normal 2" xfId="2" xr:uid="{00000000-0005-0000-0000-000001000000}"/>
    <cellStyle name="Percent" xfId="1" builtinId="5"/>
  </cellStyles>
  <dxfs count="54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FFFF99"/>
      <color rgb="FFE7D29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212912</xdr:colOff>
      <xdr:row>0</xdr:row>
      <xdr:rowOff>0</xdr:rowOff>
    </xdr:from>
    <xdr:ext cx="184731" cy="26456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0</xdr:row>
      <xdr:rowOff>0</xdr:rowOff>
    </xdr:from>
    <xdr:ext cx="184731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0</xdr:row>
      <xdr:rowOff>0</xdr:rowOff>
    </xdr:from>
    <xdr:ext cx="184731" cy="26456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0</xdr:row>
      <xdr:rowOff>0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0</xdr:row>
      <xdr:rowOff>0</xdr:rowOff>
    </xdr:from>
    <xdr:ext cx="184731" cy="264560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0</xdr:row>
      <xdr:rowOff>0</xdr:rowOff>
    </xdr:from>
    <xdr:ext cx="184731" cy="264560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0</xdr:row>
      <xdr:rowOff>0</xdr:rowOff>
    </xdr:from>
    <xdr:ext cx="184731" cy="264560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0</xdr:row>
      <xdr:rowOff>0</xdr:rowOff>
    </xdr:from>
    <xdr:ext cx="184731" cy="264560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0</xdr:row>
      <xdr:rowOff>0</xdr:rowOff>
    </xdr:from>
    <xdr:ext cx="184731" cy="264560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0</xdr:row>
      <xdr:rowOff>0</xdr:rowOff>
    </xdr:from>
    <xdr:ext cx="184731" cy="264560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0</xdr:row>
      <xdr:rowOff>0</xdr:rowOff>
    </xdr:from>
    <xdr:ext cx="184731" cy="264560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0</xdr:row>
      <xdr:rowOff>0</xdr:rowOff>
    </xdr:from>
    <xdr:ext cx="184731" cy="264560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0</xdr:row>
      <xdr:rowOff>0</xdr:rowOff>
    </xdr:from>
    <xdr:ext cx="184731" cy="264560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0</xdr:row>
      <xdr:rowOff>0</xdr:rowOff>
    </xdr:from>
    <xdr:ext cx="184731" cy="264560"/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0</xdr:row>
      <xdr:rowOff>0</xdr:rowOff>
    </xdr:from>
    <xdr:ext cx="184731" cy="264560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0</xdr:row>
      <xdr:rowOff>0</xdr:rowOff>
    </xdr:from>
    <xdr:ext cx="184731" cy="264560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46</xdr:row>
      <xdr:rowOff>78441</xdr:rowOff>
    </xdr:from>
    <xdr:ext cx="184731" cy="264560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46</xdr:row>
      <xdr:rowOff>78441</xdr:rowOff>
    </xdr:from>
    <xdr:ext cx="184731" cy="264560"/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46</xdr:row>
      <xdr:rowOff>78441</xdr:rowOff>
    </xdr:from>
    <xdr:ext cx="184731" cy="264560"/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46</xdr:row>
      <xdr:rowOff>78441</xdr:rowOff>
    </xdr:from>
    <xdr:ext cx="184731" cy="264560"/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46</xdr:row>
      <xdr:rowOff>78441</xdr:rowOff>
    </xdr:from>
    <xdr:ext cx="184731" cy="264560"/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46</xdr:row>
      <xdr:rowOff>78441</xdr:rowOff>
    </xdr:from>
    <xdr:ext cx="184731" cy="264560"/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46</xdr:row>
      <xdr:rowOff>78441</xdr:rowOff>
    </xdr:from>
    <xdr:ext cx="184731" cy="264560"/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46</xdr:row>
      <xdr:rowOff>78441</xdr:rowOff>
    </xdr:from>
    <xdr:ext cx="184731" cy="264560"/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46</xdr:row>
      <xdr:rowOff>78441</xdr:rowOff>
    </xdr:from>
    <xdr:ext cx="184731" cy="264560"/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46</xdr:row>
      <xdr:rowOff>78441</xdr:rowOff>
    </xdr:from>
    <xdr:ext cx="184731" cy="264560"/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46</xdr:row>
      <xdr:rowOff>78441</xdr:rowOff>
    </xdr:from>
    <xdr:ext cx="184731" cy="264560"/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46</xdr:row>
      <xdr:rowOff>78441</xdr:rowOff>
    </xdr:from>
    <xdr:ext cx="184731" cy="264560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46</xdr:row>
      <xdr:rowOff>78441</xdr:rowOff>
    </xdr:from>
    <xdr:ext cx="184731" cy="264560"/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46</xdr:row>
      <xdr:rowOff>78441</xdr:rowOff>
    </xdr:from>
    <xdr:ext cx="184731" cy="264560"/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46</xdr:row>
      <xdr:rowOff>78441</xdr:rowOff>
    </xdr:from>
    <xdr:ext cx="184731" cy="264560"/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46</xdr:row>
      <xdr:rowOff>78441</xdr:rowOff>
    </xdr:from>
    <xdr:ext cx="184731" cy="264560"/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46</xdr:row>
      <xdr:rowOff>78441</xdr:rowOff>
    </xdr:from>
    <xdr:ext cx="184731" cy="264560"/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46</xdr:row>
      <xdr:rowOff>78441</xdr:rowOff>
    </xdr:from>
    <xdr:ext cx="184731" cy="264560"/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46</xdr:row>
      <xdr:rowOff>78441</xdr:rowOff>
    </xdr:from>
    <xdr:ext cx="184731" cy="264560"/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46</xdr:row>
      <xdr:rowOff>78441</xdr:rowOff>
    </xdr:from>
    <xdr:ext cx="184731" cy="264560"/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 txBox="1"/>
      </xdr:nvSpPr>
      <xdr:spPr>
        <a:xfrm>
          <a:off x="6918512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13</xdr:col>
      <xdr:colOff>212912</xdr:colOff>
      <xdr:row>46</xdr:row>
      <xdr:rowOff>78441</xdr:rowOff>
    </xdr:from>
    <xdr:ext cx="184731" cy="264560"/>
    <xdr:sp macro="" textlink="">
      <xdr:nvSpPr>
        <xdr:cNvPr id="38" name="CaixaDeTexto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/>
      </xdr:nvSpPr>
      <xdr:spPr>
        <a:xfrm>
          <a:off x="8356787" y="82508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3</xdr:col>
      <xdr:colOff>708742</xdr:colOff>
      <xdr:row>31</xdr:row>
      <xdr:rowOff>123826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556592" cy="514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0</xdr:col>
      <xdr:colOff>0</xdr:colOff>
      <xdr:row>9</xdr:row>
      <xdr:rowOff>145808</xdr:rowOff>
    </xdr:from>
    <xdr:ext cx="5592694" cy="1652088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 rot="19202272">
          <a:off x="0" y="1603133"/>
          <a:ext cx="5592694" cy="1652088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PT" sz="2400" b="1">
              <a:solidFill>
                <a:schemeClr val="bg1"/>
              </a:solidFill>
            </a:rPr>
            <a:t>DADOS OBSOLETOS</a:t>
          </a:r>
        </a:p>
        <a:p>
          <a:pPr algn="ctr"/>
          <a:r>
            <a:rPr lang="pt-PT" sz="2400" b="1">
              <a:solidFill>
                <a:schemeClr val="bg1"/>
              </a:solidFill>
            </a:rPr>
            <a:t>NECESSARIO ACTUALIZAR PELA</a:t>
          </a:r>
          <a:r>
            <a:rPr lang="pt-PT" sz="2400" b="1" baseline="0">
              <a:solidFill>
                <a:schemeClr val="bg1"/>
              </a:solidFill>
            </a:rPr>
            <a:t> MAQUINA</a:t>
          </a:r>
          <a:endParaRPr lang="pt-PT" sz="2400" b="1">
            <a:solidFill>
              <a:schemeClr val="bg1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9</xdr:row>
      <xdr:rowOff>145809</xdr:rowOff>
    </xdr:from>
    <xdr:ext cx="5592694" cy="1652088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9202272">
          <a:off x="95250" y="1603134"/>
          <a:ext cx="5592694" cy="1652088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PT" sz="2400" b="1">
              <a:solidFill>
                <a:schemeClr val="bg1"/>
              </a:solidFill>
            </a:rPr>
            <a:t>DADOS OBSOLETOS</a:t>
          </a:r>
        </a:p>
        <a:p>
          <a:pPr algn="ctr"/>
          <a:r>
            <a:rPr lang="pt-PT" sz="2400" b="1">
              <a:solidFill>
                <a:schemeClr val="bg1"/>
              </a:solidFill>
            </a:rPr>
            <a:t>NECESSARIO ACTUALIZAR PELA</a:t>
          </a:r>
          <a:r>
            <a:rPr lang="pt-PT" sz="2400" b="1" baseline="0">
              <a:solidFill>
                <a:schemeClr val="bg1"/>
              </a:solidFill>
            </a:rPr>
            <a:t> MAQUINA</a:t>
          </a:r>
          <a:endParaRPr lang="pt-PT" sz="2400" b="1">
            <a:solidFill>
              <a:schemeClr val="bg1"/>
            </a:solidFill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D12" totalsRowShown="0" headerRowDxfId="5" dataDxfId="4">
  <autoFilter ref="A1:D12" xr:uid="{00000000-0009-0000-0100-000001000000}"/>
  <tableColumns count="4">
    <tableColumn id="1" xr3:uid="{00000000-0010-0000-0000-000001000000}" name="Referência" dataDxfId="3"/>
    <tableColumn id="2" xr3:uid="{00000000-0010-0000-0000-000002000000}" name="Marca" dataDxfId="2"/>
    <tableColumn id="3" xr3:uid="{00000000-0010-0000-0000-000003000000}" name="Quantidade" dataDxfId="1"/>
    <tableColumn id="4" xr3:uid="{00000000-0010-0000-0000-000004000000}" name="Descrição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mc.eu/portal_ssl/WebContent/main/index_restyling.jsp?is_main=yes&amp;lang=en&amp;ctry=EU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AG311"/>
  <sheetViews>
    <sheetView tabSelected="1" zoomScale="85" zoomScaleNormal="85" zoomScaleSheetLayoutView="75" workbookViewId="0">
      <selection activeCell="B1" sqref="B1"/>
    </sheetView>
  </sheetViews>
  <sheetFormatPr defaultRowHeight="12.75" outlineLevelRow="3" x14ac:dyDescent="0.2"/>
  <cols>
    <col min="1" max="1" width="5.42578125" customWidth="1"/>
    <col min="2" max="2" width="4.5703125" style="55" customWidth="1"/>
    <col min="3" max="3" width="3.7109375" style="55" customWidth="1"/>
    <col min="4" max="4" width="5.7109375" style="55" customWidth="1"/>
    <col min="5" max="5" width="6.7109375" style="55" customWidth="1"/>
    <col min="6" max="7" width="4.42578125" style="55" customWidth="1"/>
    <col min="8" max="8" width="3.7109375" style="55" customWidth="1"/>
    <col min="9" max="9" width="10.7109375" style="258" customWidth="1"/>
    <col min="10" max="10" width="12.7109375" style="2" customWidth="1"/>
    <col min="11" max="11" width="10.7109375" style="2" customWidth="1"/>
    <col min="12" max="12" width="15.7109375" style="143" customWidth="1"/>
    <col min="13" max="14" width="3.7109375" style="55" customWidth="1"/>
    <col min="15" max="15" width="5.7109375" style="55" customWidth="1"/>
    <col min="16" max="16" width="6.7109375" style="55" customWidth="1"/>
    <col min="17" max="17" width="3.7109375" style="55" customWidth="1"/>
    <col min="18" max="18" width="10.85546875" style="2" customWidth="1"/>
    <col min="19" max="19" width="12.7109375" style="2" customWidth="1"/>
    <col min="20" max="20" width="13.7109375" style="2" customWidth="1"/>
    <col min="21" max="21" width="0.42578125" style="2" customWidth="1"/>
    <col min="22" max="22" width="9.7109375" style="142" customWidth="1"/>
    <col min="23" max="23" width="13.85546875" style="142" customWidth="1"/>
    <col min="24" max="25" width="3.7109375" style="142" customWidth="1"/>
    <col min="26" max="26" width="9.140625" style="31" customWidth="1"/>
    <col min="27" max="27" width="9.140625" style="31"/>
    <col min="28" max="28" width="16.42578125" style="31" customWidth="1"/>
    <col min="29" max="29" width="45.7109375" style="31" customWidth="1"/>
    <col min="30" max="30" width="4" style="31" customWidth="1"/>
    <col min="31" max="31" width="115.85546875" customWidth="1"/>
    <col min="32" max="32" width="10.140625" bestFit="1" customWidth="1"/>
  </cols>
  <sheetData>
    <row r="1" spans="1:33" s="256" customFormat="1" x14ac:dyDescent="0.2">
      <c r="A1" s="256">
        <v>5</v>
      </c>
      <c r="B1" s="55">
        <v>108</v>
      </c>
      <c r="C1" s="55"/>
      <c r="D1" s="55"/>
      <c r="E1" s="55"/>
      <c r="F1" s="55"/>
      <c r="G1" s="55"/>
      <c r="H1" s="55"/>
      <c r="I1" s="258"/>
      <c r="J1" s="2"/>
      <c r="K1" s="2"/>
      <c r="L1" s="143"/>
      <c r="M1" s="55"/>
      <c r="N1" s="55"/>
      <c r="O1" s="55"/>
      <c r="P1" s="55"/>
      <c r="Q1" s="55"/>
      <c r="R1" s="2"/>
      <c r="S1" s="2"/>
      <c r="T1" s="2"/>
      <c r="U1" s="2"/>
      <c r="V1" s="142"/>
      <c r="W1" s="142"/>
      <c r="X1" s="142"/>
      <c r="Y1" s="142"/>
      <c r="Z1" s="31"/>
      <c r="AA1" s="31"/>
      <c r="AB1" s="31"/>
      <c r="AC1" s="31"/>
      <c r="AD1" s="31"/>
    </row>
    <row r="2" spans="1:33" ht="39.950000000000003" customHeight="1" thickBot="1" x14ac:dyDescent="0.25">
      <c r="A2" s="252" t="str">
        <f>T164&amp;CHAR(10)&amp;V164</f>
        <v>rev0.2
CTR</v>
      </c>
      <c r="B2" s="258"/>
      <c r="C2" s="258"/>
      <c r="D2" s="467" t="str">
        <f>J162 &amp; " " &amp; "(" &amp; G163 &amp; ")"</f>
        <v>LG HV BDU Assembly Line - ST4 (ST4 - Secondary lock insertion machine for Fuse and Lower cove)</v>
      </c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189"/>
      <c r="Z2" s="36"/>
      <c r="AA2" s="36"/>
      <c r="AB2" s="36"/>
      <c r="AC2" s="36"/>
      <c r="AD2" s="36"/>
    </row>
    <row r="3" spans="1:33" s="1" customFormat="1" ht="18.75" customHeight="1" x14ac:dyDescent="0.2">
      <c r="A3" s="37"/>
      <c r="B3" s="410" t="s">
        <v>7</v>
      </c>
      <c r="C3" s="448" t="s">
        <v>6</v>
      </c>
      <c r="D3" s="475" t="s">
        <v>4</v>
      </c>
      <c r="E3" s="472" t="s">
        <v>8</v>
      </c>
      <c r="F3" s="473"/>
      <c r="G3" s="474"/>
      <c r="H3" s="477" t="s">
        <v>52</v>
      </c>
      <c r="I3" s="479" t="s">
        <v>0</v>
      </c>
      <c r="J3" s="480"/>
      <c r="K3" s="481"/>
      <c r="L3" s="138"/>
      <c r="M3" s="410" t="s">
        <v>7</v>
      </c>
      <c r="N3" s="448" t="s">
        <v>6</v>
      </c>
      <c r="O3" s="487" t="s">
        <v>5</v>
      </c>
      <c r="P3" s="485" t="s">
        <v>18</v>
      </c>
      <c r="Q3" s="477" t="s">
        <v>53</v>
      </c>
      <c r="R3" s="479" t="s">
        <v>0</v>
      </c>
      <c r="S3" s="480"/>
      <c r="T3" s="481"/>
      <c r="U3" s="205"/>
      <c r="V3" s="138"/>
      <c r="W3" s="138"/>
      <c r="X3" s="138"/>
      <c r="Y3" s="138"/>
      <c r="Z3" s="38"/>
      <c r="AA3" s="38"/>
      <c r="AB3" s="38"/>
      <c r="AC3" s="38"/>
      <c r="AD3" s="38"/>
    </row>
    <row r="4" spans="1:33" s="1" customFormat="1" ht="29.25" customHeight="1" thickBot="1" x14ac:dyDescent="0.25">
      <c r="A4" s="37"/>
      <c r="B4" s="411"/>
      <c r="C4" s="449"/>
      <c r="D4" s="476"/>
      <c r="E4" s="71" t="s">
        <v>10</v>
      </c>
      <c r="F4" s="72" t="s">
        <v>60</v>
      </c>
      <c r="G4" s="73" t="s">
        <v>11</v>
      </c>
      <c r="H4" s="478"/>
      <c r="I4" s="482"/>
      <c r="J4" s="483"/>
      <c r="K4" s="484"/>
      <c r="L4" s="192" t="s">
        <v>581</v>
      </c>
      <c r="M4" s="411"/>
      <c r="N4" s="449"/>
      <c r="O4" s="488"/>
      <c r="P4" s="486"/>
      <c r="Q4" s="478"/>
      <c r="R4" s="482"/>
      <c r="S4" s="483"/>
      <c r="T4" s="484"/>
      <c r="U4" s="205"/>
      <c r="V4" s="192" t="s">
        <v>582</v>
      </c>
      <c r="W4" s="192" t="s">
        <v>988</v>
      </c>
      <c r="X4" s="192" t="s">
        <v>297</v>
      </c>
      <c r="Y4" s="192" t="s">
        <v>973</v>
      </c>
      <c r="Z4" s="192"/>
      <c r="AA4" s="38"/>
      <c r="AB4" s="38"/>
      <c r="AC4" s="38"/>
      <c r="AD4" s="38"/>
    </row>
    <row r="5" spans="1:33" ht="12.75" customHeight="1" x14ac:dyDescent="0.2">
      <c r="A5" s="29"/>
      <c r="B5" s="76"/>
      <c r="C5" s="454" t="s">
        <v>960</v>
      </c>
      <c r="D5" s="12" t="s">
        <v>62</v>
      </c>
      <c r="E5" s="238"/>
      <c r="F5" s="228" t="str">
        <f t="shared" ref="F5:F36" si="0">IF(L5="","",VLOOKUP(L5,Tabela_Sensores,6,FALSE))</f>
        <v/>
      </c>
      <c r="G5" s="229" t="str">
        <f t="shared" ref="G5:G36" si="1">IF(L5="","",VLOOKUP(L5,Tabela_Sensores,5,FALSE))</f>
        <v/>
      </c>
      <c r="H5" s="11">
        <v>0</v>
      </c>
      <c r="I5" s="463" t="s">
        <v>1132</v>
      </c>
      <c r="J5" s="464" t="s">
        <v>258</v>
      </c>
      <c r="K5" s="465" t="s">
        <v>258</v>
      </c>
      <c r="L5" s="139"/>
      <c r="M5" s="76"/>
      <c r="N5" s="454" t="s">
        <v>960</v>
      </c>
      <c r="O5" s="66" t="s">
        <v>63</v>
      </c>
      <c r="P5" s="26"/>
      <c r="Q5" s="11">
        <v>0</v>
      </c>
      <c r="R5" s="463" t="s">
        <v>264</v>
      </c>
      <c r="S5" s="464" t="s">
        <v>264</v>
      </c>
      <c r="T5" s="465" t="s">
        <v>264</v>
      </c>
      <c r="U5" s="206"/>
      <c r="Z5" s="225" t="s">
        <v>688</v>
      </c>
      <c r="AA5" s="466" t="s">
        <v>723</v>
      </c>
      <c r="AB5" s="466"/>
      <c r="AC5" s="466"/>
      <c r="AD5" s="222"/>
      <c r="AF5" s="224" t="s">
        <v>692</v>
      </c>
      <c r="AG5" s="224" t="s">
        <v>693</v>
      </c>
    </row>
    <row r="6" spans="1:33" x14ac:dyDescent="0.2">
      <c r="A6" s="29"/>
      <c r="B6" s="77"/>
      <c r="C6" s="455"/>
      <c r="D6" s="13" t="s">
        <v>64</v>
      </c>
      <c r="E6" s="239"/>
      <c r="F6" s="230" t="str">
        <f t="shared" si="0"/>
        <v/>
      </c>
      <c r="G6" s="231" t="str">
        <f t="shared" si="1"/>
        <v/>
      </c>
      <c r="H6" s="40">
        <v>1</v>
      </c>
      <c r="I6" s="442" t="s">
        <v>259</v>
      </c>
      <c r="J6" s="443" t="s">
        <v>259</v>
      </c>
      <c r="K6" s="444" t="s">
        <v>259</v>
      </c>
      <c r="L6" s="139"/>
      <c r="M6" s="77"/>
      <c r="N6" s="455"/>
      <c r="O6" s="67" t="s">
        <v>71</v>
      </c>
      <c r="P6" s="257"/>
      <c r="Q6" s="41">
        <v>1</v>
      </c>
      <c r="R6" s="392" t="s">
        <v>979</v>
      </c>
      <c r="S6" s="393"/>
      <c r="T6" s="395"/>
      <c r="U6" s="206"/>
      <c r="Z6" s="266"/>
      <c r="AA6" s="421"/>
      <c r="AB6" s="421"/>
      <c r="AC6" s="421"/>
      <c r="AD6" s="268" t="s">
        <v>691</v>
      </c>
      <c r="AE6" s="2"/>
      <c r="AF6" s="244"/>
      <c r="AG6" s="2"/>
    </row>
    <row r="7" spans="1:33" x14ac:dyDescent="0.2">
      <c r="A7" s="29"/>
      <c r="B7" s="77"/>
      <c r="C7" s="455"/>
      <c r="D7" s="13" t="s">
        <v>65</v>
      </c>
      <c r="E7" s="239"/>
      <c r="F7" s="232" t="str">
        <f t="shared" si="0"/>
        <v/>
      </c>
      <c r="G7" s="257" t="str">
        <f t="shared" si="1"/>
        <v/>
      </c>
      <c r="H7" s="41">
        <v>2</v>
      </c>
      <c r="I7" s="392" t="s">
        <v>1133</v>
      </c>
      <c r="J7" s="393"/>
      <c r="K7" s="395"/>
      <c r="L7" s="261"/>
      <c r="M7" s="77"/>
      <c r="N7" s="455"/>
      <c r="O7" s="67" t="s">
        <v>72</v>
      </c>
      <c r="P7" s="27"/>
      <c r="Q7" s="41">
        <v>2</v>
      </c>
      <c r="R7" s="392" t="s">
        <v>1031</v>
      </c>
      <c r="S7" s="393"/>
      <c r="T7" s="395"/>
      <c r="U7" s="206"/>
      <c r="Z7" s="226"/>
      <c r="AA7" s="421"/>
      <c r="AB7" s="421"/>
      <c r="AC7" s="421"/>
      <c r="AD7" s="243" t="s">
        <v>691</v>
      </c>
      <c r="AE7" s="2"/>
      <c r="AF7" s="244"/>
      <c r="AG7" s="2"/>
    </row>
    <row r="8" spans="1:33" x14ac:dyDescent="0.2">
      <c r="A8" s="29"/>
      <c r="B8" s="77"/>
      <c r="C8" s="455"/>
      <c r="D8" s="13" t="s">
        <v>66</v>
      </c>
      <c r="E8" s="239"/>
      <c r="F8" s="232" t="str">
        <f t="shared" si="0"/>
        <v/>
      </c>
      <c r="G8" s="257" t="str">
        <f t="shared" si="1"/>
        <v/>
      </c>
      <c r="H8" s="40">
        <v>3</v>
      </c>
      <c r="I8" s="392" t="s">
        <v>1134</v>
      </c>
      <c r="J8" s="393"/>
      <c r="K8" s="395"/>
      <c r="L8" s="261"/>
      <c r="M8" s="77"/>
      <c r="N8" s="455"/>
      <c r="O8" s="67" t="s">
        <v>73</v>
      </c>
      <c r="P8" s="257"/>
      <c r="Q8" s="41">
        <v>3</v>
      </c>
      <c r="R8" s="392" t="s">
        <v>1032</v>
      </c>
      <c r="S8" s="393"/>
      <c r="T8" s="395"/>
      <c r="U8" s="207"/>
      <c r="Z8" s="266"/>
      <c r="AA8" s="421"/>
      <c r="AB8" s="421"/>
      <c r="AC8" s="421"/>
      <c r="AD8" s="243" t="s">
        <v>691</v>
      </c>
      <c r="AE8" s="2"/>
      <c r="AF8" s="244"/>
      <c r="AG8" s="2"/>
    </row>
    <row r="9" spans="1:33" x14ac:dyDescent="0.2">
      <c r="A9" s="29"/>
      <c r="B9" s="77"/>
      <c r="C9" s="455"/>
      <c r="D9" s="13" t="s">
        <v>67</v>
      </c>
      <c r="E9" s="239"/>
      <c r="F9" s="230" t="str">
        <f t="shared" si="0"/>
        <v/>
      </c>
      <c r="G9" s="27" t="str">
        <f t="shared" si="1"/>
        <v/>
      </c>
      <c r="H9" s="40">
        <v>4</v>
      </c>
      <c r="I9" s="392" t="s">
        <v>1182</v>
      </c>
      <c r="J9" s="393"/>
      <c r="K9" s="395"/>
      <c r="L9" s="261"/>
      <c r="M9" s="77"/>
      <c r="N9" s="455"/>
      <c r="O9" s="67" t="s">
        <v>74</v>
      </c>
      <c r="P9" s="257"/>
      <c r="Q9" s="41">
        <v>4</v>
      </c>
      <c r="R9" s="442" t="s">
        <v>895</v>
      </c>
      <c r="S9" s="443" t="s">
        <v>265</v>
      </c>
      <c r="T9" s="444" t="s">
        <v>265</v>
      </c>
      <c r="U9" s="186"/>
      <c r="Z9" s="226"/>
      <c r="AA9" s="421"/>
      <c r="AB9" s="421"/>
      <c r="AC9" s="421"/>
      <c r="AD9" s="243" t="s">
        <v>691</v>
      </c>
      <c r="AE9" s="2"/>
      <c r="AF9" s="244"/>
      <c r="AG9" s="2"/>
    </row>
    <row r="10" spans="1:33" x14ac:dyDescent="0.2">
      <c r="A10" s="29"/>
      <c r="B10" s="77"/>
      <c r="C10" s="455"/>
      <c r="D10" s="13" t="s">
        <v>68</v>
      </c>
      <c r="E10" s="239"/>
      <c r="F10" s="232" t="str">
        <f t="shared" si="0"/>
        <v/>
      </c>
      <c r="G10" s="257" t="str">
        <f t="shared" si="1"/>
        <v/>
      </c>
      <c r="H10" s="40">
        <v>5</v>
      </c>
      <c r="I10" s="392" t="s">
        <v>1183</v>
      </c>
      <c r="J10" s="393"/>
      <c r="K10" s="395"/>
      <c r="L10" s="261"/>
      <c r="M10" s="77"/>
      <c r="N10" s="455"/>
      <c r="O10" s="67" t="s">
        <v>75</v>
      </c>
      <c r="P10" s="257"/>
      <c r="Q10" s="41">
        <v>5</v>
      </c>
      <c r="R10" s="442" t="s">
        <v>896</v>
      </c>
      <c r="S10" s="443" t="s">
        <v>265</v>
      </c>
      <c r="T10" s="444" t="s">
        <v>265</v>
      </c>
      <c r="U10" s="186"/>
      <c r="Z10" s="266"/>
      <c r="AA10" s="421"/>
      <c r="AB10" s="421"/>
      <c r="AC10" s="421"/>
      <c r="AD10" s="243" t="s">
        <v>691</v>
      </c>
      <c r="AE10" s="2"/>
      <c r="AF10" s="2"/>
      <c r="AG10" s="2"/>
    </row>
    <row r="11" spans="1:33" x14ac:dyDescent="0.2">
      <c r="A11" s="29"/>
      <c r="B11" s="77"/>
      <c r="C11" s="455"/>
      <c r="D11" s="13" t="s">
        <v>69</v>
      </c>
      <c r="E11" s="239"/>
      <c r="F11" s="230" t="str">
        <f t="shared" si="0"/>
        <v/>
      </c>
      <c r="G11" s="231" t="str">
        <f t="shared" si="1"/>
        <v/>
      </c>
      <c r="H11" s="40">
        <v>6</v>
      </c>
      <c r="I11" s="442" t="s">
        <v>980</v>
      </c>
      <c r="J11" s="443" t="s">
        <v>261</v>
      </c>
      <c r="K11" s="444" t="s">
        <v>261</v>
      </c>
      <c r="L11" s="261"/>
      <c r="M11" s="77"/>
      <c r="N11" s="455"/>
      <c r="O11" s="67" t="s">
        <v>76</v>
      </c>
      <c r="P11" s="116"/>
      <c r="Q11" s="41">
        <v>6</v>
      </c>
      <c r="R11" s="389" t="s">
        <v>897</v>
      </c>
      <c r="S11" s="390" t="s">
        <v>265</v>
      </c>
      <c r="T11" s="391" t="s">
        <v>265</v>
      </c>
      <c r="U11" s="186"/>
      <c r="W11" s="144"/>
      <c r="X11" s="144"/>
      <c r="Y11" s="144"/>
      <c r="Z11" s="226"/>
      <c r="AA11" s="421"/>
      <c r="AB11" s="421"/>
      <c r="AC11" s="421"/>
      <c r="AD11" s="243"/>
      <c r="AE11" s="2"/>
      <c r="AF11" s="2"/>
      <c r="AG11" s="2"/>
    </row>
    <row r="12" spans="1:33" ht="13.5" thickBot="1" x14ac:dyDescent="0.25">
      <c r="A12" s="29"/>
      <c r="B12" s="77"/>
      <c r="C12" s="455"/>
      <c r="D12" s="14" t="s">
        <v>70</v>
      </c>
      <c r="E12" s="240"/>
      <c r="F12" s="233" t="str">
        <f t="shared" si="0"/>
        <v/>
      </c>
      <c r="G12" s="116" t="str">
        <f t="shared" si="1"/>
        <v/>
      </c>
      <c r="H12" s="43">
        <v>7</v>
      </c>
      <c r="I12" s="469" t="s">
        <v>943</v>
      </c>
      <c r="J12" s="470" t="s">
        <v>261</v>
      </c>
      <c r="K12" s="471" t="s">
        <v>261</v>
      </c>
      <c r="L12" s="261"/>
      <c r="M12" s="77"/>
      <c r="N12" s="455"/>
      <c r="O12" s="68" t="s">
        <v>77</v>
      </c>
      <c r="P12" s="28"/>
      <c r="Q12" s="50">
        <v>7</v>
      </c>
      <c r="R12" s="439" t="s">
        <v>944</v>
      </c>
      <c r="S12" s="440" t="s">
        <v>265</v>
      </c>
      <c r="T12" s="441" t="s">
        <v>265</v>
      </c>
      <c r="U12" s="207"/>
      <c r="Z12" s="266"/>
      <c r="AA12" s="421"/>
      <c r="AB12" s="421"/>
      <c r="AC12" s="421"/>
      <c r="AD12" s="243"/>
      <c r="AE12" s="2"/>
      <c r="AF12" s="2"/>
      <c r="AG12" s="2"/>
    </row>
    <row r="13" spans="1:33" s="5" customFormat="1" ht="12.75" customHeight="1" x14ac:dyDescent="0.2">
      <c r="A13" s="44"/>
      <c r="B13" s="77"/>
      <c r="C13" s="455"/>
      <c r="D13" s="17" t="s">
        <v>78</v>
      </c>
      <c r="E13" s="238"/>
      <c r="F13" s="234" t="str">
        <f t="shared" si="0"/>
        <v/>
      </c>
      <c r="G13" s="235" t="str">
        <f t="shared" si="1"/>
        <v/>
      </c>
      <c r="H13" s="11">
        <v>8</v>
      </c>
      <c r="I13" s="460" t="s">
        <v>982</v>
      </c>
      <c r="J13" s="461" t="s">
        <v>261</v>
      </c>
      <c r="K13" s="462" t="s">
        <v>261</v>
      </c>
      <c r="L13" s="261"/>
      <c r="M13" s="161"/>
      <c r="N13" s="455"/>
      <c r="O13" s="12" t="s">
        <v>110</v>
      </c>
      <c r="P13" s="283"/>
      <c r="Q13" s="11">
        <v>8</v>
      </c>
      <c r="R13" s="405" t="s">
        <v>269</v>
      </c>
      <c r="S13" s="406"/>
      <c r="T13" s="394"/>
      <c r="U13" s="186"/>
      <c r="V13" s="142"/>
      <c r="W13" s="140"/>
      <c r="X13" s="261"/>
      <c r="Y13" s="261"/>
      <c r="Z13" s="226"/>
      <c r="AA13" s="421"/>
      <c r="AB13" s="421"/>
      <c r="AC13" s="421"/>
      <c r="AD13" s="243"/>
      <c r="AE13" s="3"/>
      <c r="AF13" s="3"/>
      <c r="AG13" s="3"/>
    </row>
    <row r="14" spans="1:33" s="5" customFormat="1" x14ac:dyDescent="0.2">
      <c r="A14" s="44"/>
      <c r="B14" s="77"/>
      <c r="C14" s="455"/>
      <c r="D14" s="6" t="s">
        <v>79</v>
      </c>
      <c r="E14" s="239"/>
      <c r="F14" s="232" t="str">
        <f t="shared" si="0"/>
        <v/>
      </c>
      <c r="G14" s="257" t="str">
        <f t="shared" si="1"/>
        <v/>
      </c>
      <c r="H14" s="40">
        <v>9</v>
      </c>
      <c r="I14" s="442" t="s">
        <v>983</v>
      </c>
      <c r="J14" s="443" t="s">
        <v>262</v>
      </c>
      <c r="K14" s="444" t="s">
        <v>262</v>
      </c>
      <c r="L14" s="261"/>
      <c r="M14" s="260"/>
      <c r="N14" s="455"/>
      <c r="O14" s="13" t="s">
        <v>111</v>
      </c>
      <c r="P14" s="263"/>
      <c r="Q14" s="41">
        <v>9</v>
      </c>
      <c r="R14" s="405" t="s">
        <v>269</v>
      </c>
      <c r="S14" s="406"/>
      <c r="T14" s="394"/>
      <c r="U14" s="186"/>
      <c r="V14" s="142"/>
      <c r="W14" s="140"/>
      <c r="X14" s="261"/>
      <c r="Y14" s="261"/>
      <c r="Z14" s="266"/>
      <c r="AA14" s="421"/>
      <c r="AB14" s="421"/>
      <c r="AC14" s="421"/>
      <c r="AD14" s="243"/>
      <c r="AE14" s="3"/>
      <c r="AF14" s="3"/>
      <c r="AG14" s="3"/>
    </row>
    <row r="15" spans="1:33" s="5" customFormat="1" ht="12.75" customHeight="1" x14ac:dyDescent="0.2">
      <c r="A15" s="44"/>
      <c r="B15" s="77"/>
      <c r="C15" s="455"/>
      <c r="D15" s="6" t="s">
        <v>80</v>
      </c>
      <c r="E15" s="257"/>
      <c r="F15" s="230" t="str">
        <f t="shared" si="0"/>
        <v/>
      </c>
      <c r="G15" s="231" t="str">
        <f t="shared" si="1"/>
        <v/>
      </c>
      <c r="H15" s="41">
        <v>10</v>
      </c>
      <c r="I15" s="460" t="s">
        <v>986</v>
      </c>
      <c r="J15" s="461" t="s">
        <v>261</v>
      </c>
      <c r="K15" s="462" t="s">
        <v>261</v>
      </c>
      <c r="L15" s="261"/>
      <c r="M15" s="260"/>
      <c r="N15" s="455"/>
      <c r="O15" s="299" t="s">
        <v>112</v>
      </c>
      <c r="P15" s="300"/>
      <c r="Q15" s="301">
        <v>10</v>
      </c>
      <c r="R15" s="405" t="s">
        <v>269</v>
      </c>
      <c r="S15" s="406"/>
      <c r="T15" s="394"/>
      <c r="U15" s="186"/>
      <c r="V15" s="142"/>
      <c r="W15" s="140"/>
      <c r="X15" s="261"/>
      <c r="Y15" s="261"/>
      <c r="Z15" s="226"/>
      <c r="AA15" s="421"/>
      <c r="AB15" s="421"/>
      <c r="AC15" s="421"/>
      <c r="AD15" s="243"/>
      <c r="AE15" s="3"/>
      <c r="AF15" s="3"/>
      <c r="AG15" s="3"/>
    </row>
    <row r="16" spans="1:33" s="5" customFormat="1" ht="12.75" customHeight="1" x14ac:dyDescent="0.2">
      <c r="A16" s="44"/>
      <c r="B16" s="77"/>
      <c r="C16" s="455"/>
      <c r="D16" s="6" t="s">
        <v>81</v>
      </c>
      <c r="E16" s="239"/>
      <c r="F16" s="160" t="str">
        <f t="shared" si="0"/>
        <v/>
      </c>
      <c r="G16" s="257" t="str">
        <f t="shared" si="1"/>
        <v/>
      </c>
      <c r="H16" s="40">
        <v>11</v>
      </c>
      <c r="I16" s="442" t="s">
        <v>987</v>
      </c>
      <c r="J16" s="443"/>
      <c r="K16" s="444"/>
      <c r="L16" s="261"/>
      <c r="M16" s="260"/>
      <c r="N16" s="455"/>
      <c r="O16" s="299" t="s">
        <v>113</v>
      </c>
      <c r="P16" s="300"/>
      <c r="Q16" s="301">
        <v>11</v>
      </c>
      <c r="R16" s="405" t="s">
        <v>269</v>
      </c>
      <c r="S16" s="406"/>
      <c r="T16" s="394"/>
      <c r="U16" s="186"/>
      <c r="V16" s="142"/>
      <c r="W16" s="140"/>
      <c r="X16" s="261"/>
      <c r="Y16" s="261"/>
      <c r="Z16" s="266"/>
      <c r="AA16" s="421"/>
      <c r="AB16" s="421"/>
      <c r="AC16" s="421"/>
      <c r="AD16" s="243"/>
      <c r="AE16" s="3"/>
      <c r="AF16" s="3"/>
      <c r="AG16" s="3"/>
    </row>
    <row r="17" spans="1:33" s="5" customFormat="1" x14ac:dyDescent="0.2">
      <c r="A17" s="44"/>
      <c r="B17" s="77"/>
      <c r="C17" s="455"/>
      <c r="D17" s="6" t="s">
        <v>82</v>
      </c>
      <c r="E17" s="239"/>
      <c r="F17" s="232" t="str">
        <f t="shared" si="0"/>
        <v/>
      </c>
      <c r="G17" s="257" t="str">
        <f t="shared" si="1"/>
        <v/>
      </c>
      <c r="H17" s="40">
        <v>12</v>
      </c>
      <c r="I17" s="442" t="s">
        <v>1050</v>
      </c>
      <c r="J17" s="443"/>
      <c r="K17" s="444"/>
      <c r="L17" s="261"/>
      <c r="M17" s="260"/>
      <c r="N17" s="455"/>
      <c r="O17" s="299" t="s">
        <v>114</v>
      </c>
      <c r="P17" s="300"/>
      <c r="Q17" s="301">
        <v>12</v>
      </c>
      <c r="R17" s="405" t="s">
        <v>269</v>
      </c>
      <c r="S17" s="406"/>
      <c r="T17" s="394"/>
      <c r="U17" s="186"/>
      <c r="V17" s="276"/>
      <c r="W17" s="140"/>
      <c r="X17" s="261"/>
      <c r="Y17" s="261"/>
      <c r="Z17" s="226"/>
      <c r="AA17" s="437"/>
      <c r="AB17" s="437"/>
      <c r="AC17" s="437"/>
      <c r="AD17" s="245"/>
      <c r="AE17" s="3"/>
      <c r="AF17" s="3"/>
      <c r="AG17" s="3"/>
    </row>
    <row r="18" spans="1:33" s="5" customFormat="1" x14ac:dyDescent="0.2">
      <c r="A18" s="44"/>
      <c r="B18" s="77"/>
      <c r="C18" s="455"/>
      <c r="D18" s="6" t="s">
        <v>83</v>
      </c>
      <c r="E18" s="239"/>
      <c r="F18" s="230" t="str">
        <f t="shared" si="0"/>
        <v/>
      </c>
      <c r="G18" s="27" t="str">
        <f t="shared" si="1"/>
        <v/>
      </c>
      <c r="H18" s="40">
        <v>13</v>
      </c>
      <c r="I18" s="392" t="s">
        <v>1089</v>
      </c>
      <c r="J18" s="393"/>
      <c r="K18" s="395"/>
      <c r="L18" s="267"/>
      <c r="M18" s="260"/>
      <c r="N18" s="455"/>
      <c r="O18" s="299" t="s">
        <v>115</v>
      </c>
      <c r="P18" s="300"/>
      <c r="Q18" s="301">
        <v>13</v>
      </c>
      <c r="R18" s="405" t="s">
        <v>269</v>
      </c>
      <c r="S18" s="406"/>
      <c r="T18" s="394"/>
      <c r="U18" s="186"/>
      <c r="V18" s="276"/>
      <c r="W18" s="140"/>
      <c r="X18" s="261"/>
      <c r="Y18" s="261"/>
      <c r="Z18" s="226"/>
      <c r="AA18" s="437"/>
      <c r="AB18" s="437"/>
      <c r="AC18" s="437"/>
      <c r="AD18" s="245"/>
      <c r="AE18" s="3"/>
      <c r="AF18" s="3"/>
      <c r="AG18" s="3"/>
    </row>
    <row r="19" spans="1:33" s="5" customFormat="1" x14ac:dyDescent="0.2">
      <c r="A19" s="44"/>
      <c r="B19" s="77"/>
      <c r="C19" s="455"/>
      <c r="D19" s="299" t="s">
        <v>84</v>
      </c>
      <c r="E19" s="305"/>
      <c r="F19" s="306" t="str">
        <f t="shared" si="0"/>
        <v/>
      </c>
      <c r="G19" s="300" t="str">
        <f t="shared" si="1"/>
        <v/>
      </c>
      <c r="H19" s="301">
        <v>14</v>
      </c>
      <c r="I19" s="405" t="s">
        <v>269</v>
      </c>
      <c r="J19" s="406"/>
      <c r="K19" s="394"/>
      <c r="L19" s="267"/>
      <c r="M19" s="260"/>
      <c r="N19" s="455"/>
      <c r="O19" s="299" t="s">
        <v>116</v>
      </c>
      <c r="P19" s="300"/>
      <c r="Q19" s="301">
        <v>14</v>
      </c>
      <c r="R19" s="405" t="s">
        <v>269</v>
      </c>
      <c r="S19" s="406"/>
      <c r="T19" s="394"/>
      <c r="U19" s="186"/>
      <c r="V19" s="276"/>
      <c r="W19" s="140"/>
      <c r="X19" s="261"/>
      <c r="Y19" s="261"/>
      <c r="Z19" s="226"/>
      <c r="AA19" s="421"/>
      <c r="AB19" s="421"/>
      <c r="AC19" s="421"/>
      <c r="AD19" s="243"/>
      <c r="AE19" s="3"/>
      <c r="AF19" s="3"/>
      <c r="AG19" s="3"/>
    </row>
    <row r="20" spans="1:33" s="5" customFormat="1" ht="13.5" thickBot="1" x14ac:dyDescent="0.25">
      <c r="A20" s="44"/>
      <c r="B20" s="78"/>
      <c r="C20" s="456"/>
      <c r="D20" s="307" t="s">
        <v>85</v>
      </c>
      <c r="E20" s="308"/>
      <c r="F20" s="309" t="str">
        <f t="shared" si="0"/>
        <v/>
      </c>
      <c r="G20" s="310" t="str">
        <f t="shared" si="1"/>
        <v/>
      </c>
      <c r="H20" s="311">
        <v>15</v>
      </c>
      <c r="I20" s="405" t="s">
        <v>269</v>
      </c>
      <c r="J20" s="406"/>
      <c r="K20" s="394"/>
      <c r="L20" s="267"/>
      <c r="M20" s="260"/>
      <c r="N20" s="456"/>
      <c r="O20" s="302" t="s">
        <v>117</v>
      </c>
      <c r="P20" s="303"/>
      <c r="Q20" s="304">
        <v>15</v>
      </c>
      <c r="R20" s="405" t="s">
        <v>269</v>
      </c>
      <c r="S20" s="406"/>
      <c r="T20" s="394"/>
      <c r="U20" s="186"/>
      <c r="V20" s="276"/>
      <c r="W20" s="140"/>
      <c r="X20" s="261"/>
      <c r="Y20" s="261"/>
      <c r="Z20" s="226"/>
      <c r="AA20" s="438"/>
      <c r="AB20" s="438"/>
      <c r="AC20" s="438"/>
      <c r="AD20" s="243"/>
      <c r="AE20" s="3"/>
      <c r="AF20" s="3"/>
      <c r="AG20" s="3"/>
    </row>
    <row r="21" spans="1:33" ht="12.75" customHeight="1" x14ac:dyDescent="0.2">
      <c r="A21" s="258"/>
      <c r="B21" s="511" t="s">
        <v>441</v>
      </c>
      <c r="C21" s="454" t="s">
        <v>918</v>
      </c>
      <c r="D21" s="17" t="s">
        <v>86</v>
      </c>
      <c r="E21" s="26" t="str">
        <f>IF(LEFT($B$21,4)="1 - ",Notas!A322,"")</f>
        <v>SR1.1</v>
      </c>
      <c r="F21" s="236" t="str">
        <f t="shared" si="0"/>
        <v>M8 4P</v>
      </c>
      <c r="G21" s="26" t="str">
        <f t="shared" si="1"/>
        <v>B</v>
      </c>
      <c r="H21" s="167">
        <v>16</v>
      </c>
      <c r="I21" s="450" t="s">
        <v>1040</v>
      </c>
      <c r="J21" s="451"/>
      <c r="K21" s="452"/>
      <c r="L21" s="261" t="s">
        <v>1077</v>
      </c>
      <c r="M21" s="297"/>
      <c r="N21" s="454" t="s">
        <v>919</v>
      </c>
      <c r="O21" s="17" t="s">
        <v>118</v>
      </c>
      <c r="P21" s="283"/>
      <c r="Q21" s="11">
        <v>16</v>
      </c>
      <c r="R21" s="434" t="s">
        <v>1174</v>
      </c>
      <c r="S21" s="435" t="s">
        <v>265</v>
      </c>
      <c r="T21" s="436" t="s">
        <v>265</v>
      </c>
      <c r="U21" s="186"/>
      <c r="V21" s="141"/>
      <c r="W21" s="140"/>
      <c r="X21" s="261"/>
      <c r="Y21" s="261"/>
      <c r="Z21" s="226"/>
      <c r="AA21" s="433" t="s">
        <v>917</v>
      </c>
      <c r="AB21" s="433"/>
      <c r="AC21" s="433"/>
      <c r="AD21" s="222"/>
    </row>
    <row r="22" spans="1:33" ht="13.15" customHeight="1" x14ac:dyDescent="0.2">
      <c r="A22" s="258"/>
      <c r="B22" s="512"/>
      <c r="C22" s="455"/>
      <c r="D22" s="6" t="s">
        <v>87</v>
      </c>
      <c r="E22" s="257" t="str">
        <f>IF(LEFT($B$21,4)="1 - ",Notas!A323,"")</f>
        <v>SR1.2</v>
      </c>
      <c r="F22" s="160" t="str">
        <f t="shared" si="0"/>
        <v>M8 4P</v>
      </c>
      <c r="G22" s="257" t="str">
        <f t="shared" si="1"/>
        <v>B</v>
      </c>
      <c r="H22" s="40">
        <v>17</v>
      </c>
      <c r="I22" s="506" t="s">
        <v>1041</v>
      </c>
      <c r="J22" s="507"/>
      <c r="K22" s="508"/>
      <c r="L22" s="261" t="s">
        <v>1078</v>
      </c>
      <c r="M22" s="298"/>
      <c r="N22" s="455"/>
      <c r="O22" s="6" t="s">
        <v>119</v>
      </c>
      <c r="P22" s="263"/>
      <c r="Q22" s="41">
        <v>17</v>
      </c>
      <c r="R22" s="392" t="s">
        <v>1176</v>
      </c>
      <c r="S22" s="393" t="s">
        <v>266</v>
      </c>
      <c r="T22" s="395" t="s">
        <v>266</v>
      </c>
      <c r="U22" s="207"/>
      <c r="V22" s="141"/>
      <c r="W22" s="140"/>
      <c r="X22" s="261"/>
      <c r="Y22" s="261"/>
      <c r="Z22" s="266"/>
      <c r="AA22" s="453"/>
      <c r="AB22" s="453"/>
      <c r="AC22" s="453"/>
      <c r="AD22" s="243"/>
      <c r="AE22" s="2"/>
      <c r="AF22" s="2"/>
      <c r="AG22" s="2"/>
    </row>
    <row r="23" spans="1:33" x14ac:dyDescent="0.2">
      <c r="A23" s="258"/>
      <c r="B23" s="512"/>
      <c r="C23" s="455"/>
      <c r="D23" s="6" t="s">
        <v>88</v>
      </c>
      <c r="E23" s="257" t="str">
        <f>IF(LEFT($B$21,4)="1 - ",Notas!A324,"")</f>
        <v>SR1.3</v>
      </c>
      <c r="F23" s="160" t="str">
        <f t="shared" si="0"/>
        <v>M8 4P</v>
      </c>
      <c r="G23" s="257" t="str">
        <f t="shared" si="1"/>
        <v>B</v>
      </c>
      <c r="H23" s="40">
        <v>18</v>
      </c>
      <c r="I23" s="402" t="s">
        <v>1081</v>
      </c>
      <c r="J23" s="403"/>
      <c r="K23" s="404"/>
      <c r="L23" s="261" t="s">
        <v>1077</v>
      </c>
      <c r="M23" s="298"/>
      <c r="N23" s="455"/>
      <c r="O23" s="6" t="s">
        <v>120</v>
      </c>
      <c r="P23" s="263"/>
      <c r="Q23" s="41">
        <v>18</v>
      </c>
      <c r="R23" s="389" t="s">
        <v>1175</v>
      </c>
      <c r="S23" s="390" t="s">
        <v>265</v>
      </c>
      <c r="T23" s="391" t="s">
        <v>265</v>
      </c>
      <c r="U23" s="207"/>
      <c r="V23" s="141"/>
      <c r="W23" s="140"/>
      <c r="X23" s="261"/>
      <c r="Y23" s="261"/>
      <c r="Z23" s="266"/>
      <c r="AA23" s="453"/>
      <c r="AB23" s="453"/>
      <c r="AC23" s="453"/>
      <c r="AD23" s="243"/>
      <c r="AE23" s="2"/>
      <c r="AF23" s="2"/>
      <c r="AG23" s="2"/>
    </row>
    <row r="24" spans="1:33" s="5" customFormat="1" x14ac:dyDescent="0.2">
      <c r="A24" s="258"/>
      <c r="B24" s="512"/>
      <c r="C24" s="455"/>
      <c r="D24" s="6" t="s">
        <v>89</v>
      </c>
      <c r="E24" s="257" t="str">
        <f>IF(LEFT($B$21,4)="1 - ",Notas!A325,"")</f>
        <v>SR1.4</v>
      </c>
      <c r="F24" s="160" t="str">
        <f t="shared" si="0"/>
        <v>M8 4P</v>
      </c>
      <c r="G24" s="257" t="str">
        <f t="shared" si="1"/>
        <v>B</v>
      </c>
      <c r="H24" s="40">
        <v>19</v>
      </c>
      <c r="I24" s="402" t="s">
        <v>1082</v>
      </c>
      <c r="J24" s="403"/>
      <c r="K24" s="404"/>
      <c r="L24" s="261" t="s">
        <v>1077</v>
      </c>
      <c r="M24" s="298"/>
      <c r="N24" s="455"/>
      <c r="O24" s="6" t="s">
        <v>121</v>
      </c>
      <c r="P24" s="263"/>
      <c r="Q24" s="41">
        <v>19</v>
      </c>
      <c r="R24" s="392" t="s">
        <v>1177</v>
      </c>
      <c r="S24" s="393" t="s">
        <v>266</v>
      </c>
      <c r="T24" s="395" t="s">
        <v>266</v>
      </c>
      <c r="U24" s="207"/>
      <c r="V24" s="141"/>
      <c r="W24" s="140"/>
      <c r="X24" s="261"/>
      <c r="Y24" s="261"/>
      <c r="Z24" s="226"/>
      <c r="AA24" s="421"/>
      <c r="AB24" s="421"/>
      <c r="AC24" s="421"/>
      <c r="AD24" s="243"/>
      <c r="AE24" s="3"/>
      <c r="AF24" s="3"/>
      <c r="AG24" s="3"/>
    </row>
    <row r="25" spans="1:33" s="5" customFormat="1" ht="13.15" customHeight="1" x14ac:dyDescent="0.2">
      <c r="A25" s="258"/>
      <c r="B25" s="512"/>
      <c r="C25" s="455"/>
      <c r="D25" s="6" t="s">
        <v>90</v>
      </c>
      <c r="E25" s="257" t="str">
        <f>IF(LEFT($B$21,4)="1 - ",Notas!A326,"")</f>
        <v>SR1.5</v>
      </c>
      <c r="F25" s="160" t="str">
        <f t="shared" si="0"/>
        <v>M8 4P</v>
      </c>
      <c r="G25" s="257" t="str">
        <f t="shared" si="1"/>
        <v>B</v>
      </c>
      <c r="H25" s="40">
        <v>20</v>
      </c>
      <c r="I25" s="402" t="s">
        <v>1083</v>
      </c>
      <c r="J25" s="403"/>
      <c r="K25" s="404"/>
      <c r="L25" s="261" t="s">
        <v>1077</v>
      </c>
      <c r="M25" s="298"/>
      <c r="N25" s="455"/>
      <c r="O25" s="6" t="s">
        <v>122</v>
      </c>
      <c r="P25" s="263"/>
      <c r="Q25" s="41">
        <v>20</v>
      </c>
      <c r="R25" s="445" t="s">
        <v>1172</v>
      </c>
      <c r="S25" s="446" t="s">
        <v>265</v>
      </c>
      <c r="T25" s="447" t="s">
        <v>265</v>
      </c>
      <c r="U25" s="207"/>
      <c r="V25" s="141"/>
      <c r="W25" s="261"/>
      <c r="X25" s="261"/>
      <c r="Y25" s="261" t="s">
        <v>1028</v>
      </c>
      <c r="Z25" s="266"/>
      <c r="AA25" s="421" t="s">
        <v>1027</v>
      </c>
      <c r="AB25" s="421"/>
      <c r="AC25" s="421"/>
      <c r="AD25" s="243"/>
      <c r="AE25" s="3"/>
      <c r="AF25" s="3"/>
      <c r="AG25" s="3"/>
    </row>
    <row r="26" spans="1:33" s="5" customFormat="1" ht="12" customHeight="1" x14ac:dyDescent="0.2">
      <c r="A26" s="258"/>
      <c r="B26" s="512"/>
      <c r="C26" s="455"/>
      <c r="D26" s="6" t="s">
        <v>91</v>
      </c>
      <c r="E26" s="257" t="str">
        <f>IF(LEFT($B$21,4)="1 - ",Notas!A327,"")</f>
        <v>SR1.6</v>
      </c>
      <c r="F26" s="160" t="str">
        <f t="shared" si="0"/>
        <v>M8 4P</v>
      </c>
      <c r="G26" s="257" t="str">
        <f t="shared" si="1"/>
        <v>B</v>
      </c>
      <c r="H26" s="40">
        <v>21</v>
      </c>
      <c r="I26" s="402" t="s">
        <v>1084</v>
      </c>
      <c r="J26" s="403"/>
      <c r="K26" s="404"/>
      <c r="L26" s="261" t="s">
        <v>1077</v>
      </c>
      <c r="M26" s="298"/>
      <c r="N26" s="455"/>
      <c r="O26" s="6" t="s">
        <v>123</v>
      </c>
      <c r="P26" s="263"/>
      <c r="Q26" s="41">
        <v>21</v>
      </c>
      <c r="R26" s="445" t="s">
        <v>1173</v>
      </c>
      <c r="S26" s="446" t="s">
        <v>265</v>
      </c>
      <c r="T26" s="447" t="s">
        <v>265</v>
      </c>
      <c r="U26" s="207"/>
      <c r="V26" s="141"/>
      <c r="W26" s="141"/>
      <c r="X26" s="141"/>
      <c r="Y26" s="141"/>
      <c r="Z26" s="226"/>
      <c r="AA26" s="421"/>
      <c r="AB26" s="421"/>
      <c r="AC26" s="421"/>
      <c r="AD26" s="243"/>
      <c r="AE26" s="3"/>
      <c r="AF26" s="3"/>
      <c r="AG26" s="3"/>
    </row>
    <row r="27" spans="1:33" s="5" customFormat="1" x14ac:dyDescent="0.2">
      <c r="A27" s="258"/>
      <c r="B27" s="512"/>
      <c r="C27" s="455"/>
      <c r="D27" s="6" t="s">
        <v>92</v>
      </c>
      <c r="E27" s="257" t="str">
        <f>IF(LEFT($B$21,4)="1 - ",Notas!A328,"")</f>
        <v>SR1.7</v>
      </c>
      <c r="F27" s="160" t="str">
        <f t="shared" si="0"/>
        <v>M8 3P 0,5m</v>
      </c>
      <c r="G27" s="257" t="str">
        <f t="shared" si="1"/>
        <v>M</v>
      </c>
      <c r="H27" s="40">
        <v>22</v>
      </c>
      <c r="I27" s="457" t="s">
        <v>1085</v>
      </c>
      <c r="J27" s="458"/>
      <c r="K27" s="459"/>
      <c r="L27" s="261" t="s">
        <v>1018</v>
      </c>
      <c r="M27" s="298"/>
      <c r="N27" s="455"/>
      <c r="O27" s="6" t="s">
        <v>124</v>
      </c>
      <c r="P27" s="263"/>
      <c r="Q27" s="41">
        <v>22</v>
      </c>
      <c r="R27" s="405" t="s">
        <v>269</v>
      </c>
      <c r="S27" s="406"/>
      <c r="T27" s="394"/>
      <c r="U27" s="207"/>
      <c r="V27" s="141"/>
      <c r="W27" s="141"/>
      <c r="X27" s="141"/>
      <c r="Y27" s="141" t="s">
        <v>1029</v>
      </c>
      <c r="Z27" s="266"/>
      <c r="AA27" s="421" t="s">
        <v>1023</v>
      </c>
      <c r="AB27" s="421"/>
      <c r="AC27" s="421"/>
      <c r="AD27" s="243"/>
      <c r="AE27" s="3"/>
      <c r="AF27" s="3"/>
      <c r="AG27" s="3"/>
    </row>
    <row r="28" spans="1:33" s="5" customFormat="1" ht="13.5" thickBot="1" x14ac:dyDescent="0.25">
      <c r="A28" s="258"/>
      <c r="B28" s="513"/>
      <c r="C28" s="455"/>
      <c r="D28" s="8" t="s">
        <v>93</v>
      </c>
      <c r="E28" s="28" t="str">
        <f>IF(LEFT($B$21,4)="1 - ",Notas!A329,"")</f>
        <v>SR1.8</v>
      </c>
      <c r="F28" s="237" t="str">
        <f t="shared" si="0"/>
        <v>M8 3P 0,5m</v>
      </c>
      <c r="G28" s="28" t="str">
        <f t="shared" si="1"/>
        <v>M</v>
      </c>
      <c r="H28" s="43">
        <v>23</v>
      </c>
      <c r="I28" s="457" t="s">
        <v>1086</v>
      </c>
      <c r="J28" s="458"/>
      <c r="K28" s="459"/>
      <c r="L28" s="261" t="s">
        <v>1018</v>
      </c>
      <c r="M28" s="298"/>
      <c r="N28" s="455"/>
      <c r="O28" s="8" t="s">
        <v>125</v>
      </c>
      <c r="P28" s="312"/>
      <c r="Q28" s="50">
        <v>23</v>
      </c>
      <c r="R28" s="399" t="s">
        <v>269</v>
      </c>
      <c r="S28" s="400"/>
      <c r="T28" s="401"/>
      <c r="U28" s="207"/>
      <c r="V28" s="141"/>
      <c r="W28" s="141"/>
      <c r="X28" s="141"/>
      <c r="Y28" s="141" t="s">
        <v>1030</v>
      </c>
      <c r="Z28" s="226"/>
      <c r="AA28" s="421" t="s">
        <v>1024</v>
      </c>
      <c r="AB28" s="421"/>
      <c r="AC28" s="421"/>
      <c r="AD28" s="243"/>
      <c r="AE28" s="3"/>
      <c r="AF28" s="3"/>
      <c r="AG28" s="3"/>
    </row>
    <row r="29" spans="1:33" s="5" customFormat="1" ht="12.75" customHeight="1" x14ac:dyDescent="0.2">
      <c r="A29" s="258"/>
      <c r="B29" s="377" t="s">
        <v>737</v>
      </c>
      <c r="C29" s="455"/>
      <c r="D29" s="18" t="s">
        <v>94</v>
      </c>
      <c r="E29" s="164" t="str">
        <f>IF(LEFT($B$29,4)="2 - ",Notas!A330,"")</f>
        <v>SR2.1</v>
      </c>
      <c r="F29" s="236" t="str">
        <f t="shared" si="0"/>
        <v>2m</v>
      </c>
      <c r="G29" s="26" t="str">
        <f t="shared" si="1"/>
        <v>F</v>
      </c>
      <c r="H29" s="170">
        <v>24</v>
      </c>
      <c r="I29" s="450" t="s">
        <v>984</v>
      </c>
      <c r="J29" s="451"/>
      <c r="K29" s="452"/>
      <c r="L29" s="261" t="s">
        <v>898</v>
      </c>
      <c r="M29" s="298"/>
      <c r="N29" s="455"/>
      <c r="O29" s="18" t="s">
        <v>126</v>
      </c>
      <c r="P29" s="164"/>
      <c r="Q29" s="51">
        <v>24</v>
      </c>
      <c r="R29" s="422" t="s">
        <v>1090</v>
      </c>
      <c r="S29" s="423"/>
      <c r="T29" s="424"/>
      <c r="U29" s="207"/>
      <c r="V29" s="142"/>
      <c r="W29" s="261"/>
      <c r="X29" s="261"/>
      <c r="Y29" s="261"/>
      <c r="Z29" s="266"/>
      <c r="AA29" s="421"/>
      <c r="AB29" s="421"/>
      <c r="AC29" s="421"/>
      <c r="AD29" s="243"/>
      <c r="AE29" s="3"/>
      <c r="AF29" s="3"/>
      <c r="AG29" s="3"/>
    </row>
    <row r="30" spans="1:33" s="5" customFormat="1" x14ac:dyDescent="0.2">
      <c r="A30" s="258"/>
      <c r="B30" s="378"/>
      <c r="C30" s="455"/>
      <c r="D30" s="18" t="s">
        <v>95</v>
      </c>
      <c r="E30" s="164" t="str">
        <f>IF(LEFT($B$29,4)="2 - ",Notas!A331,"")</f>
        <v>SR2.2</v>
      </c>
      <c r="F30" s="160" t="str">
        <f t="shared" si="0"/>
        <v>2m</v>
      </c>
      <c r="G30" s="257" t="str">
        <f t="shared" si="1"/>
        <v>F</v>
      </c>
      <c r="H30" s="40">
        <v>25</v>
      </c>
      <c r="I30" s="402" t="s">
        <v>985</v>
      </c>
      <c r="J30" s="403"/>
      <c r="K30" s="404"/>
      <c r="L30" s="261" t="s">
        <v>898</v>
      </c>
      <c r="M30" s="298"/>
      <c r="N30" s="455"/>
      <c r="O30" s="18" t="s">
        <v>127</v>
      </c>
      <c r="P30" s="257"/>
      <c r="Q30" s="41">
        <v>25</v>
      </c>
      <c r="R30" s="418" t="s">
        <v>1153</v>
      </c>
      <c r="S30" s="416" t="s">
        <v>260</v>
      </c>
      <c r="T30" s="419" t="s">
        <v>260</v>
      </c>
      <c r="U30" s="207"/>
      <c r="V30" s="142"/>
      <c r="W30" s="141"/>
      <c r="X30" s="141"/>
      <c r="Y30" s="141"/>
      <c r="Z30" s="226"/>
      <c r="AA30" s="421" t="s">
        <v>1025</v>
      </c>
      <c r="AB30" s="421"/>
      <c r="AC30" s="421"/>
      <c r="AD30" s="243"/>
      <c r="AE30" s="3"/>
      <c r="AF30" s="3"/>
      <c r="AG30" s="3"/>
    </row>
    <row r="31" spans="1:33" s="5" customFormat="1" ht="12.75" customHeight="1" x14ac:dyDescent="0.2">
      <c r="A31" s="258"/>
      <c r="B31" s="378"/>
      <c r="C31" s="455"/>
      <c r="D31" s="18" t="s">
        <v>96</v>
      </c>
      <c r="E31" s="164" t="str">
        <f>IF(LEFT($B$29,4)="2 - ",Notas!A332,"")</f>
        <v>SR2.3</v>
      </c>
      <c r="F31" s="160" t="e">
        <f t="shared" si="0"/>
        <v>#N/A</v>
      </c>
      <c r="G31" s="257" t="e">
        <f t="shared" si="1"/>
        <v>#N/A</v>
      </c>
      <c r="H31" s="40">
        <v>26</v>
      </c>
      <c r="I31" s="457" t="s">
        <v>1042</v>
      </c>
      <c r="J31" s="458"/>
      <c r="K31" s="459"/>
      <c r="L31" s="261" t="s">
        <v>1190</v>
      </c>
      <c r="M31" s="298"/>
      <c r="N31" s="455"/>
      <c r="O31" s="18" t="s">
        <v>128</v>
      </c>
      <c r="P31" s="164"/>
      <c r="Q31" s="41">
        <v>26</v>
      </c>
      <c r="R31" s="418" t="s">
        <v>1154</v>
      </c>
      <c r="S31" s="416" t="s">
        <v>260</v>
      </c>
      <c r="T31" s="419" t="s">
        <v>260</v>
      </c>
      <c r="U31" s="207"/>
      <c r="V31" s="142"/>
      <c r="W31" s="141"/>
      <c r="X31" s="141"/>
      <c r="Y31" s="141"/>
      <c r="Z31" s="266"/>
      <c r="AA31" s="421" t="s">
        <v>1026</v>
      </c>
      <c r="AB31" s="421"/>
      <c r="AC31" s="421"/>
      <c r="AD31" s="243"/>
      <c r="AE31" s="3"/>
      <c r="AF31" s="3"/>
      <c r="AG31" s="3"/>
    </row>
    <row r="32" spans="1:33" s="5" customFormat="1" ht="12.75" customHeight="1" x14ac:dyDescent="0.2">
      <c r="A32" s="258"/>
      <c r="B32" s="378"/>
      <c r="C32" s="455"/>
      <c r="D32" s="18" t="s">
        <v>97</v>
      </c>
      <c r="E32" s="164" t="str">
        <f>IF(LEFT($B$29,4)="2 - ",Notas!A333,"")</f>
        <v>SR2.4</v>
      </c>
      <c r="F32" s="160" t="e">
        <f t="shared" si="0"/>
        <v>#N/A</v>
      </c>
      <c r="G32" s="257" t="e">
        <f t="shared" si="1"/>
        <v>#N/A</v>
      </c>
      <c r="H32" s="40">
        <v>27</v>
      </c>
      <c r="I32" s="457" t="s">
        <v>1043</v>
      </c>
      <c r="J32" s="458"/>
      <c r="K32" s="459"/>
      <c r="L32" s="261" t="s">
        <v>1190</v>
      </c>
      <c r="M32" s="298"/>
      <c r="N32" s="455"/>
      <c r="O32" s="18" t="s">
        <v>129</v>
      </c>
      <c r="P32" s="164"/>
      <c r="Q32" s="41">
        <v>27</v>
      </c>
      <c r="R32" s="418" t="s">
        <v>1155</v>
      </c>
      <c r="S32" s="416" t="s">
        <v>260</v>
      </c>
      <c r="T32" s="419" t="s">
        <v>260</v>
      </c>
      <c r="U32" s="207"/>
      <c r="V32" s="142"/>
      <c r="W32" s="141"/>
      <c r="X32" s="141"/>
      <c r="Y32" s="141"/>
      <c r="Z32" s="226"/>
      <c r="AA32" s="421"/>
      <c r="AB32" s="421"/>
      <c r="AC32" s="421"/>
      <c r="AD32" s="243"/>
      <c r="AE32" s="3"/>
      <c r="AF32" s="3"/>
      <c r="AG32" s="3"/>
    </row>
    <row r="33" spans="1:33" s="5" customFormat="1" x14ac:dyDescent="0.2">
      <c r="A33" s="258"/>
      <c r="B33" s="378"/>
      <c r="C33" s="455"/>
      <c r="D33" s="18" t="s">
        <v>98</v>
      </c>
      <c r="E33" s="164" t="str">
        <f>IF(LEFT($B$29,4)="2 - ",Notas!A334,"")</f>
        <v>SR2.5</v>
      </c>
      <c r="F33" s="160" t="str">
        <f t="shared" si="0"/>
        <v/>
      </c>
      <c r="G33" s="257" t="str">
        <f t="shared" si="1"/>
        <v/>
      </c>
      <c r="H33" s="40">
        <v>28</v>
      </c>
      <c r="I33" s="405" t="s">
        <v>269</v>
      </c>
      <c r="J33" s="406"/>
      <c r="K33" s="394"/>
      <c r="L33" s="261"/>
      <c r="M33" s="298"/>
      <c r="N33" s="455"/>
      <c r="O33" s="18" t="s">
        <v>130</v>
      </c>
      <c r="P33" s="164"/>
      <c r="Q33" s="41">
        <v>28</v>
      </c>
      <c r="R33" s="405" t="s">
        <v>269</v>
      </c>
      <c r="S33" s="406"/>
      <c r="T33" s="394"/>
      <c r="U33" s="207"/>
      <c r="V33" s="142"/>
      <c r="W33" s="141"/>
      <c r="X33" s="141"/>
      <c r="Y33" s="141"/>
      <c r="Z33" s="226"/>
      <c r="AA33" s="421" t="s">
        <v>801</v>
      </c>
      <c r="AB33" s="421"/>
      <c r="AC33" s="421"/>
      <c r="AD33" s="243"/>
      <c r="AE33" s="3"/>
      <c r="AF33" s="3"/>
      <c r="AG33" s="3"/>
    </row>
    <row r="34" spans="1:33" s="5" customFormat="1" x14ac:dyDescent="0.2">
      <c r="A34" s="258"/>
      <c r="B34" s="378"/>
      <c r="C34" s="455"/>
      <c r="D34" s="18" t="s">
        <v>99</v>
      </c>
      <c r="E34" s="164" t="str">
        <f>IF(LEFT($B$29,4)="2 - ",Notas!A335,"")</f>
        <v>SR2.6</v>
      </c>
      <c r="F34" s="160" t="str">
        <f t="shared" si="0"/>
        <v/>
      </c>
      <c r="G34" s="257" t="str">
        <f t="shared" si="1"/>
        <v/>
      </c>
      <c r="H34" s="40">
        <v>29</v>
      </c>
      <c r="I34" s="405" t="s">
        <v>269</v>
      </c>
      <c r="J34" s="406"/>
      <c r="K34" s="394"/>
      <c r="L34" s="261"/>
      <c r="M34" s="298"/>
      <c r="N34" s="455"/>
      <c r="O34" s="18" t="s">
        <v>131</v>
      </c>
      <c r="P34" s="164"/>
      <c r="Q34" s="41">
        <v>29</v>
      </c>
      <c r="R34" s="405" t="s">
        <v>269</v>
      </c>
      <c r="S34" s="406"/>
      <c r="T34" s="394"/>
      <c r="U34" s="207"/>
      <c r="V34" s="142"/>
      <c r="W34" s="141"/>
      <c r="X34" s="141"/>
      <c r="Y34" s="141"/>
      <c r="Z34" s="226"/>
      <c r="AA34" s="421"/>
      <c r="AB34" s="421"/>
      <c r="AC34" s="421"/>
      <c r="AD34" s="243"/>
      <c r="AE34" s="3"/>
      <c r="AF34" s="3"/>
      <c r="AG34" s="3"/>
    </row>
    <row r="35" spans="1:33" s="5" customFormat="1" x14ac:dyDescent="0.2">
      <c r="A35" s="258"/>
      <c r="B35" s="378"/>
      <c r="C35" s="455"/>
      <c r="D35" s="18" t="s">
        <v>100</v>
      </c>
      <c r="E35" s="164" t="str">
        <f>IF(LEFT($B$29,4)="2 - ",Notas!A336,"")</f>
        <v>SR2.7</v>
      </c>
      <c r="F35" s="232" t="str">
        <f t="shared" si="0"/>
        <v>M8 3P 0,5m</v>
      </c>
      <c r="G35" s="257" t="str">
        <f t="shared" si="1"/>
        <v>M</v>
      </c>
      <c r="H35" s="40">
        <v>30</v>
      </c>
      <c r="I35" s="457" t="s">
        <v>1044</v>
      </c>
      <c r="J35" s="458"/>
      <c r="K35" s="459"/>
      <c r="L35" s="261" t="s">
        <v>1018</v>
      </c>
      <c r="M35" s="298"/>
      <c r="N35" s="455"/>
      <c r="O35" s="18" t="s">
        <v>132</v>
      </c>
      <c r="P35" s="116"/>
      <c r="Q35" s="41">
        <v>30</v>
      </c>
      <c r="R35" s="405" t="s">
        <v>269</v>
      </c>
      <c r="S35" s="406"/>
      <c r="T35" s="394"/>
      <c r="U35" s="207"/>
      <c r="V35" s="142"/>
      <c r="W35" s="141"/>
      <c r="X35" s="142"/>
      <c r="Y35" s="142"/>
      <c r="Z35" s="226"/>
      <c r="AA35" s="421"/>
      <c r="AB35" s="421"/>
      <c r="AC35" s="421"/>
      <c r="AD35" s="243"/>
      <c r="AE35" s="3"/>
      <c r="AF35" s="3"/>
      <c r="AG35" s="3"/>
    </row>
    <row r="36" spans="1:33" s="5" customFormat="1" ht="13.5" thickBot="1" x14ac:dyDescent="0.25">
      <c r="A36" s="258"/>
      <c r="B36" s="379"/>
      <c r="C36" s="456"/>
      <c r="D36" s="18" t="s">
        <v>101</v>
      </c>
      <c r="E36" s="164" t="str">
        <f>IF(LEFT($B$29,4)="2 - ",Notas!A337,"")</f>
        <v>SR2.8</v>
      </c>
      <c r="F36" s="237" t="str">
        <f t="shared" si="0"/>
        <v>M8 3P 0,5m</v>
      </c>
      <c r="G36" s="28" t="str">
        <f t="shared" si="1"/>
        <v>M</v>
      </c>
      <c r="H36" s="49">
        <v>31</v>
      </c>
      <c r="I36" s="503" t="s">
        <v>1045</v>
      </c>
      <c r="J36" s="504"/>
      <c r="K36" s="505"/>
      <c r="L36" s="261" t="s">
        <v>1018</v>
      </c>
      <c r="M36" s="298"/>
      <c r="N36" s="456"/>
      <c r="O36" s="62" t="s">
        <v>133</v>
      </c>
      <c r="P36" s="28"/>
      <c r="Q36" s="50">
        <v>31</v>
      </c>
      <c r="R36" s="399" t="s">
        <v>269</v>
      </c>
      <c r="S36" s="400"/>
      <c r="T36" s="401"/>
      <c r="U36" s="207"/>
      <c r="V36" s="142"/>
      <c r="W36" s="141"/>
      <c r="X36" s="141"/>
      <c r="Y36" s="141"/>
      <c r="Z36" s="226"/>
      <c r="AA36" s="421"/>
      <c r="AB36" s="421"/>
      <c r="AC36" s="421"/>
      <c r="AD36" s="243"/>
      <c r="AE36" s="3"/>
      <c r="AF36" s="3"/>
      <c r="AG36" s="3"/>
    </row>
    <row r="37" spans="1:33" ht="12.75" customHeight="1" x14ac:dyDescent="0.2">
      <c r="A37" s="258"/>
      <c r="B37" s="519" t="s">
        <v>738</v>
      </c>
      <c r="C37" s="454" t="s">
        <v>918</v>
      </c>
      <c r="D37" s="17" t="s">
        <v>102</v>
      </c>
      <c r="E37" s="26" t="str">
        <f>IF(LEFT($B$37,4)="3 - ",Notas!A338,"")</f>
        <v>SR3.1</v>
      </c>
      <c r="F37" s="236" t="e">
        <f t="shared" ref="F37:F68" si="2">IF(L37="","",VLOOKUP(L37,Tabela_Sensores,6,FALSE))</f>
        <v>#N/A</v>
      </c>
      <c r="G37" s="26" t="e">
        <f t="shared" ref="G37:G68" si="3">IF(L37="","",VLOOKUP(L37,Tabela_Sensores,5,FALSE))</f>
        <v>#N/A</v>
      </c>
      <c r="H37" s="167">
        <v>32</v>
      </c>
      <c r="I37" s="422" t="s">
        <v>1046</v>
      </c>
      <c r="J37" s="423"/>
      <c r="K37" s="424"/>
      <c r="L37" s="261" t="s">
        <v>1189</v>
      </c>
      <c r="M37" s="298"/>
      <c r="N37" s="396" t="s">
        <v>919</v>
      </c>
      <c r="O37" s="65" t="s">
        <v>151</v>
      </c>
      <c r="P37" s="164"/>
      <c r="Q37" s="51">
        <v>32</v>
      </c>
      <c r="R37" s="407" t="s">
        <v>269</v>
      </c>
      <c r="S37" s="408"/>
      <c r="T37" s="409"/>
      <c r="U37" s="207"/>
      <c r="W37" s="141"/>
      <c r="Z37" s="226"/>
      <c r="AA37" s="421"/>
      <c r="AB37" s="421"/>
      <c r="AC37" s="421"/>
      <c r="AD37" s="243"/>
      <c r="AE37" s="2"/>
      <c r="AF37" s="2"/>
      <c r="AG37" s="2"/>
    </row>
    <row r="38" spans="1:33" x14ac:dyDescent="0.2">
      <c r="A38" s="258"/>
      <c r="B38" s="520"/>
      <c r="C38" s="455"/>
      <c r="D38" s="6" t="s">
        <v>103</v>
      </c>
      <c r="E38" s="164" t="str">
        <f>IF(LEFT($B$37,4)="3 - ",Notas!A339,"")</f>
        <v>SR3.2</v>
      </c>
      <c r="F38" s="160" t="e">
        <f t="shared" si="2"/>
        <v>#N/A</v>
      </c>
      <c r="G38" s="257" t="e">
        <f t="shared" si="3"/>
        <v>#N/A</v>
      </c>
      <c r="H38" s="40">
        <v>33</v>
      </c>
      <c r="I38" s="392" t="s">
        <v>1047</v>
      </c>
      <c r="J38" s="393"/>
      <c r="K38" s="395"/>
      <c r="L38" s="261" t="s">
        <v>1189</v>
      </c>
      <c r="M38" s="298"/>
      <c r="N38" s="397"/>
      <c r="O38" s="65" t="s">
        <v>152</v>
      </c>
      <c r="P38" s="257"/>
      <c r="Q38" s="41">
        <v>33</v>
      </c>
      <c r="R38" s="405" t="s">
        <v>269</v>
      </c>
      <c r="S38" s="406"/>
      <c r="T38" s="394"/>
      <c r="U38" s="207"/>
      <c r="W38" s="141"/>
      <c r="Z38" s="226"/>
      <c r="AA38" s="421"/>
      <c r="AB38" s="421"/>
      <c r="AC38" s="421"/>
      <c r="AD38" s="243"/>
      <c r="AE38" s="2"/>
      <c r="AF38" s="2"/>
      <c r="AG38" s="2"/>
    </row>
    <row r="39" spans="1:33" x14ac:dyDescent="0.2">
      <c r="A39" s="258"/>
      <c r="B39" s="520"/>
      <c r="C39" s="455"/>
      <c r="D39" s="6" t="s">
        <v>104</v>
      </c>
      <c r="E39" s="164" t="str">
        <f>IF(LEFT($B$37,4)="3 - ",Notas!A340,"")</f>
        <v>SR3.3</v>
      </c>
      <c r="F39" s="232" t="str">
        <f t="shared" si="2"/>
        <v>M8 3P 0,5m</v>
      </c>
      <c r="G39" s="257" t="str">
        <f t="shared" si="3"/>
        <v>M</v>
      </c>
      <c r="H39" s="365">
        <v>34</v>
      </c>
      <c r="I39" s="392" t="s">
        <v>1211</v>
      </c>
      <c r="J39" s="393"/>
      <c r="K39" s="395"/>
      <c r="L39" s="261" t="s">
        <v>1018</v>
      </c>
      <c r="M39" s="298"/>
      <c r="N39" s="397"/>
      <c r="O39" s="65" t="s">
        <v>153</v>
      </c>
      <c r="P39" s="27"/>
      <c r="Q39" s="41">
        <v>34</v>
      </c>
      <c r="R39" s="405" t="s">
        <v>269</v>
      </c>
      <c r="S39" s="406"/>
      <c r="T39" s="394"/>
      <c r="U39" s="207"/>
      <c r="W39" s="141"/>
      <c r="Z39" s="226"/>
      <c r="AA39" s="433" t="s">
        <v>687</v>
      </c>
      <c r="AB39" s="433"/>
      <c r="AC39" s="433"/>
      <c r="AD39" s="222"/>
    </row>
    <row r="40" spans="1:33" s="5" customFormat="1" x14ac:dyDescent="0.2">
      <c r="A40" s="258"/>
      <c r="B40" s="520"/>
      <c r="C40" s="455"/>
      <c r="D40" s="6" t="s">
        <v>105</v>
      </c>
      <c r="E40" s="164" t="str">
        <f>IF(LEFT($B$37,4)="3 - ",Notas!A341,"")</f>
        <v>SR3.4</v>
      </c>
      <c r="F40" s="232" t="str">
        <f t="shared" si="2"/>
        <v>M8 3P 0,5m</v>
      </c>
      <c r="G40" s="257" t="str">
        <f t="shared" si="3"/>
        <v>M</v>
      </c>
      <c r="H40" s="365">
        <v>35</v>
      </c>
      <c r="I40" s="392" t="s">
        <v>1212</v>
      </c>
      <c r="J40" s="393"/>
      <c r="K40" s="395"/>
      <c r="L40" s="261" t="s">
        <v>1018</v>
      </c>
      <c r="M40" s="298"/>
      <c r="N40" s="397"/>
      <c r="O40" s="65" t="s">
        <v>154</v>
      </c>
      <c r="P40" s="257"/>
      <c r="Q40" s="41">
        <v>35</v>
      </c>
      <c r="R40" s="405" t="s">
        <v>269</v>
      </c>
      <c r="S40" s="406"/>
      <c r="T40" s="394"/>
      <c r="U40" s="207"/>
      <c r="V40" s="142"/>
      <c r="W40" s="261"/>
      <c r="X40" s="261"/>
      <c r="Y40" s="261"/>
      <c r="Z40" s="226" t="s">
        <v>690</v>
      </c>
      <c r="AA40" s="421" t="s">
        <v>946</v>
      </c>
      <c r="AB40" s="421"/>
      <c r="AC40" s="421"/>
      <c r="AD40" s="243"/>
      <c r="AE40" s="3"/>
      <c r="AF40" s="3"/>
      <c r="AG40" s="3"/>
    </row>
    <row r="41" spans="1:33" s="5" customFormat="1" ht="13.5" thickBot="1" x14ac:dyDescent="0.25">
      <c r="A41" s="258"/>
      <c r="B41" s="520"/>
      <c r="C41" s="455"/>
      <c r="D41" s="6" t="s">
        <v>106</v>
      </c>
      <c r="E41" s="164" t="str">
        <f>IF(LEFT($B$37,4)="3 - ",Notas!A342,"")</f>
        <v>SR3.5</v>
      </c>
      <c r="F41" s="101" t="str">
        <f t="shared" si="2"/>
        <v>M8 3P 0,5m</v>
      </c>
      <c r="G41" s="253" t="str">
        <f t="shared" si="3"/>
        <v>M</v>
      </c>
      <c r="H41" s="365">
        <v>36</v>
      </c>
      <c r="I41" s="392" t="s">
        <v>1213</v>
      </c>
      <c r="J41" s="393"/>
      <c r="K41" s="395"/>
      <c r="L41" s="261" t="s">
        <v>1018</v>
      </c>
      <c r="M41" s="298"/>
      <c r="N41" s="397"/>
      <c r="O41" s="65" t="s">
        <v>155</v>
      </c>
      <c r="P41" s="27"/>
      <c r="Q41" s="40">
        <v>36</v>
      </c>
      <c r="R41" s="405" t="s">
        <v>269</v>
      </c>
      <c r="S41" s="406"/>
      <c r="T41" s="394"/>
      <c r="U41" s="207"/>
      <c r="V41" s="142"/>
      <c r="W41" s="261"/>
      <c r="X41" s="261"/>
      <c r="Y41" s="261"/>
      <c r="Z41" s="226"/>
      <c r="AA41" s="420" t="s">
        <v>972</v>
      </c>
      <c r="AB41" s="420"/>
      <c r="AC41" s="420"/>
      <c r="AD41" s="243"/>
      <c r="AE41" s="3"/>
      <c r="AF41" s="3"/>
      <c r="AG41" s="3"/>
    </row>
    <row r="42" spans="1:33" s="5" customFormat="1" ht="12.75" customHeight="1" x14ac:dyDescent="0.2">
      <c r="A42" s="258"/>
      <c r="B42" s="520"/>
      <c r="C42" s="455"/>
      <c r="D42" s="6" t="s">
        <v>107</v>
      </c>
      <c r="E42" s="164" t="str">
        <f>IF(LEFT($B$37,4)="3 - ",Notas!A343,"")</f>
        <v>SR3.6</v>
      </c>
      <c r="F42" s="160" t="str">
        <f t="shared" si="2"/>
        <v>M8 3P 0,5m</v>
      </c>
      <c r="G42" s="253" t="str">
        <f t="shared" si="3"/>
        <v>M</v>
      </c>
      <c r="H42" s="365">
        <v>37</v>
      </c>
      <c r="I42" s="392" t="s">
        <v>1214</v>
      </c>
      <c r="J42" s="393"/>
      <c r="K42" s="395"/>
      <c r="L42" s="261" t="s">
        <v>1018</v>
      </c>
      <c r="M42" s="522" t="s">
        <v>324</v>
      </c>
      <c r="N42" s="397"/>
      <c r="O42" s="65" t="s">
        <v>156</v>
      </c>
      <c r="P42" s="116" t="s">
        <v>255</v>
      </c>
      <c r="Q42" s="41">
        <v>37</v>
      </c>
      <c r="R42" s="392" t="s">
        <v>1136</v>
      </c>
      <c r="S42" s="393"/>
      <c r="T42" s="395"/>
      <c r="U42" s="186"/>
      <c r="V42" s="142" t="s">
        <v>411</v>
      </c>
      <c r="W42" s="145" t="s">
        <v>1164</v>
      </c>
      <c r="X42" s="145">
        <v>1</v>
      </c>
      <c r="Y42" s="144">
        <v>6</v>
      </c>
      <c r="Z42" s="226"/>
      <c r="AA42" s="420" t="s">
        <v>1016</v>
      </c>
      <c r="AB42" s="420"/>
      <c r="AC42" s="420"/>
      <c r="AD42" s="243"/>
      <c r="AE42" s="3"/>
      <c r="AF42" s="3"/>
      <c r="AG42" s="3"/>
    </row>
    <row r="43" spans="1:33" s="5" customFormat="1" ht="12.75" customHeight="1" x14ac:dyDescent="0.2">
      <c r="A43" s="258"/>
      <c r="B43" s="520"/>
      <c r="C43" s="455"/>
      <c r="D43" s="6" t="s">
        <v>108</v>
      </c>
      <c r="E43" s="164" t="str">
        <f>IF(LEFT($B$37,4)="3 - ",Notas!A344,"")</f>
        <v>SR3.7</v>
      </c>
      <c r="F43" s="160" t="e">
        <f t="shared" si="2"/>
        <v>#N/A</v>
      </c>
      <c r="G43" s="257" t="e">
        <f t="shared" si="3"/>
        <v>#N/A</v>
      </c>
      <c r="H43" s="41">
        <v>38</v>
      </c>
      <c r="I43" s="392" t="s">
        <v>1049</v>
      </c>
      <c r="J43" s="393"/>
      <c r="K43" s="395"/>
      <c r="L43" s="261" t="s">
        <v>1188</v>
      </c>
      <c r="M43" s="523"/>
      <c r="N43" s="397"/>
      <c r="O43" s="65" t="s">
        <v>157</v>
      </c>
      <c r="P43" s="116" t="s">
        <v>996</v>
      </c>
      <c r="Q43" s="41">
        <v>38</v>
      </c>
      <c r="R43" s="392" t="s">
        <v>1137</v>
      </c>
      <c r="S43" s="393"/>
      <c r="T43" s="395"/>
      <c r="U43" s="206"/>
      <c r="V43" s="142" t="s">
        <v>411</v>
      </c>
      <c r="W43" s="261" t="s">
        <v>1159</v>
      </c>
      <c r="X43" s="261">
        <v>1</v>
      </c>
      <c r="Y43" s="261">
        <v>4</v>
      </c>
      <c r="Z43" s="266" t="s">
        <v>387</v>
      </c>
      <c r="AA43" s="420" t="s">
        <v>1036</v>
      </c>
      <c r="AB43" s="420"/>
      <c r="AC43" s="420"/>
      <c r="AD43" s="243"/>
      <c r="AE43" s="3"/>
      <c r="AF43" s="3"/>
      <c r="AG43" s="3"/>
    </row>
    <row r="44" spans="1:33" s="5" customFormat="1" ht="13.9" customHeight="1" thickBot="1" x14ac:dyDescent="0.25">
      <c r="A44" s="258"/>
      <c r="B44" s="521"/>
      <c r="C44" s="455"/>
      <c r="D44" s="8" t="s">
        <v>109</v>
      </c>
      <c r="E44" s="241" t="str">
        <f>IF(LEFT($B$37,4)="3 - ",Notas!A345,"")</f>
        <v>SR3.8</v>
      </c>
      <c r="F44" s="237" t="e">
        <f t="shared" si="2"/>
        <v>#N/A</v>
      </c>
      <c r="G44" s="28" t="e">
        <f t="shared" si="3"/>
        <v>#N/A</v>
      </c>
      <c r="H44" s="43">
        <v>39</v>
      </c>
      <c r="I44" s="439" t="s">
        <v>1048</v>
      </c>
      <c r="J44" s="440"/>
      <c r="K44" s="441"/>
      <c r="L44" s="261" t="s">
        <v>1188</v>
      </c>
      <c r="M44" s="523"/>
      <c r="N44" s="397"/>
      <c r="O44" s="92" t="s">
        <v>158</v>
      </c>
      <c r="P44" s="116" t="s">
        <v>975</v>
      </c>
      <c r="Q44" s="367">
        <v>39</v>
      </c>
      <c r="R44" s="439" t="s">
        <v>1221</v>
      </c>
      <c r="S44" s="440"/>
      <c r="T44" s="441"/>
      <c r="U44" s="206"/>
      <c r="V44" s="142" t="s">
        <v>412</v>
      </c>
      <c r="W44" s="261" t="s">
        <v>1161</v>
      </c>
      <c r="X44" s="261">
        <v>1</v>
      </c>
      <c r="Y44" s="261">
        <v>6</v>
      </c>
      <c r="Z44" s="266" t="s">
        <v>690</v>
      </c>
      <c r="AA44" s="420" t="s">
        <v>1034</v>
      </c>
      <c r="AB44" s="420"/>
      <c r="AC44" s="420"/>
      <c r="AD44" s="243"/>
      <c r="AE44" s="3"/>
      <c r="AF44" s="3"/>
      <c r="AG44" s="3"/>
    </row>
    <row r="45" spans="1:33" s="5" customFormat="1" ht="12.75" customHeight="1" x14ac:dyDescent="0.2">
      <c r="A45" s="269"/>
      <c r="B45" s="519" t="s">
        <v>739</v>
      </c>
      <c r="C45" s="455"/>
      <c r="D45" s="17" t="s">
        <v>135</v>
      </c>
      <c r="E45" s="26" t="str">
        <f>IF(LEFT($B$45,4)="4 - ",Notas!A346,"")</f>
        <v>SR4.1</v>
      </c>
      <c r="F45" s="236" t="e">
        <f t="shared" si="2"/>
        <v>#N/A</v>
      </c>
      <c r="G45" s="26" t="e">
        <f t="shared" si="3"/>
        <v>#N/A</v>
      </c>
      <c r="H45" s="11">
        <v>40</v>
      </c>
      <c r="I45" s="392" t="s">
        <v>1184</v>
      </c>
      <c r="J45" s="393"/>
      <c r="K45" s="395"/>
      <c r="L45" s="261" t="s">
        <v>1189</v>
      </c>
      <c r="M45" s="523"/>
      <c r="N45" s="397"/>
      <c r="O45" s="93" t="s">
        <v>159</v>
      </c>
      <c r="P45" s="359"/>
      <c r="Q45" s="368">
        <v>40</v>
      </c>
      <c r="R45" s="422" t="s">
        <v>1222</v>
      </c>
      <c r="S45" s="423"/>
      <c r="T45" s="424"/>
      <c r="U45" s="207"/>
      <c r="V45" s="142"/>
      <c r="W45" s="141"/>
      <c r="X45" s="141"/>
      <c r="Y45" s="141"/>
      <c r="Z45" s="266"/>
      <c r="AA45" s="420" t="s">
        <v>1035</v>
      </c>
      <c r="AB45" s="420"/>
      <c r="AC45" s="420"/>
      <c r="AD45" s="243"/>
      <c r="AE45" s="3"/>
      <c r="AF45" s="3"/>
      <c r="AG45" s="3"/>
    </row>
    <row r="46" spans="1:33" s="5" customFormat="1" x14ac:dyDescent="0.2">
      <c r="A46" s="269"/>
      <c r="B46" s="520"/>
      <c r="C46" s="455"/>
      <c r="D46" s="18" t="s">
        <v>136</v>
      </c>
      <c r="E46" s="229" t="str">
        <f>IF(LEFT($B$45,4)="4 - ",Notas!A347,"")</f>
        <v>SR4.2</v>
      </c>
      <c r="F46" s="160" t="e">
        <f t="shared" si="2"/>
        <v>#N/A</v>
      </c>
      <c r="G46" s="257" t="e">
        <f t="shared" si="3"/>
        <v>#N/A</v>
      </c>
      <c r="H46" s="40">
        <v>41</v>
      </c>
      <c r="I46" s="392" t="s">
        <v>1185</v>
      </c>
      <c r="J46" s="393"/>
      <c r="K46" s="395"/>
      <c r="L46" s="261" t="s">
        <v>1189</v>
      </c>
      <c r="M46" s="523"/>
      <c r="N46" s="397"/>
      <c r="O46" s="94" t="s">
        <v>160</v>
      </c>
      <c r="P46" s="116" t="s">
        <v>990</v>
      </c>
      <c r="Q46" s="365">
        <v>41</v>
      </c>
      <c r="R46" s="392" t="s">
        <v>1223</v>
      </c>
      <c r="S46" s="393"/>
      <c r="T46" s="395"/>
      <c r="U46" s="207"/>
      <c r="V46" s="142" t="s">
        <v>411</v>
      </c>
      <c r="W46" s="261" t="s">
        <v>1160</v>
      </c>
      <c r="X46" s="261">
        <v>1</v>
      </c>
      <c r="Y46" s="261">
        <v>6</v>
      </c>
      <c r="Z46" s="266"/>
      <c r="AA46" s="420" t="s">
        <v>1033</v>
      </c>
      <c r="AB46" s="420"/>
      <c r="AC46" s="420"/>
      <c r="AD46" s="243"/>
      <c r="AE46" s="3"/>
      <c r="AF46" s="3"/>
      <c r="AG46" s="3"/>
    </row>
    <row r="47" spans="1:33" s="5" customFormat="1" ht="12.75" customHeight="1" x14ac:dyDescent="0.2">
      <c r="A47" s="269"/>
      <c r="B47" s="520"/>
      <c r="C47" s="455"/>
      <c r="D47" s="18" t="s">
        <v>137</v>
      </c>
      <c r="E47" s="229" t="str">
        <f>IF(LEFT($B$45,4)="4 - ",Notas!A348,"")</f>
        <v>SR4.3</v>
      </c>
      <c r="F47" s="232" t="str">
        <f t="shared" si="2"/>
        <v>M8 3P 0,5m</v>
      </c>
      <c r="G47" s="257" t="str">
        <f t="shared" si="3"/>
        <v>M</v>
      </c>
      <c r="H47" s="365">
        <v>42</v>
      </c>
      <c r="I47" s="392" t="s">
        <v>1207</v>
      </c>
      <c r="J47" s="393"/>
      <c r="K47" s="395"/>
      <c r="L47" s="261" t="s">
        <v>1018</v>
      </c>
      <c r="M47" s="523"/>
      <c r="N47" s="397"/>
      <c r="O47" s="94" t="s">
        <v>161</v>
      </c>
      <c r="P47" s="116" t="s">
        <v>1088</v>
      </c>
      <c r="Q47" s="41">
        <v>42</v>
      </c>
      <c r="R47" s="392" t="s">
        <v>1138</v>
      </c>
      <c r="S47" s="393"/>
      <c r="T47" s="395"/>
      <c r="U47" s="207"/>
      <c r="V47" s="142" t="s">
        <v>411</v>
      </c>
      <c r="W47" s="261" t="s">
        <v>1159</v>
      </c>
      <c r="X47" s="261">
        <v>1</v>
      </c>
      <c r="Y47" s="261">
        <v>4</v>
      </c>
      <c r="Z47" s="266"/>
      <c r="AA47" s="420"/>
      <c r="AB47" s="420"/>
      <c r="AC47" s="420"/>
      <c r="AD47" s="243"/>
      <c r="AE47" s="3"/>
      <c r="AF47" s="3"/>
      <c r="AG47" s="3"/>
    </row>
    <row r="48" spans="1:33" s="5" customFormat="1" ht="12.75" customHeight="1" x14ac:dyDescent="0.2">
      <c r="A48" s="269"/>
      <c r="B48" s="520"/>
      <c r="C48" s="455"/>
      <c r="D48" s="18" t="s">
        <v>138</v>
      </c>
      <c r="E48" s="229" t="str">
        <f>IF(LEFT($B$45,4)="4 - ",Notas!A349,"")</f>
        <v>SR4.4</v>
      </c>
      <c r="F48" s="232" t="str">
        <f t="shared" si="2"/>
        <v>M8 3P 0,5m</v>
      </c>
      <c r="G48" s="257" t="str">
        <f t="shared" si="3"/>
        <v>M</v>
      </c>
      <c r="H48" s="365">
        <v>43</v>
      </c>
      <c r="I48" s="392" t="s">
        <v>1208</v>
      </c>
      <c r="J48" s="393"/>
      <c r="K48" s="395"/>
      <c r="L48" s="261" t="s">
        <v>1018</v>
      </c>
      <c r="M48" s="523"/>
      <c r="N48" s="397"/>
      <c r="O48" s="94" t="s">
        <v>162</v>
      </c>
      <c r="P48" s="116" t="s">
        <v>991</v>
      </c>
      <c r="Q48" s="365">
        <v>43</v>
      </c>
      <c r="R48" s="392" t="s">
        <v>1224</v>
      </c>
      <c r="S48" s="393"/>
      <c r="T48" s="395"/>
      <c r="U48" s="207"/>
      <c r="V48" s="142" t="s">
        <v>412</v>
      </c>
      <c r="W48" s="261" t="s">
        <v>1161</v>
      </c>
      <c r="X48" s="261">
        <v>1</v>
      </c>
      <c r="Y48" s="261">
        <v>6</v>
      </c>
      <c r="Z48" s="266" t="s">
        <v>690</v>
      </c>
      <c r="AA48" s="420" t="s">
        <v>961</v>
      </c>
      <c r="AB48" s="420"/>
      <c r="AC48" s="420"/>
      <c r="AD48" s="243"/>
      <c r="AE48" s="3"/>
      <c r="AF48" s="3"/>
      <c r="AG48" s="3"/>
    </row>
    <row r="49" spans="1:33" s="5" customFormat="1" ht="12.75" customHeight="1" x14ac:dyDescent="0.2">
      <c r="A49" s="269"/>
      <c r="B49" s="520"/>
      <c r="C49" s="455"/>
      <c r="D49" s="18" t="s">
        <v>139</v>
      </c>
      <c r="E49" s="229" t="str">
        <f>IF(LEFT($B$45,4)="4 - ",Notas!A350,"")</f>
        <v>SR4.5</v>
      </c>
      <c r="F49" s="101" t="str">
        <f t="shared" si="2"/>
        <v>M8 3P 0,5m</v>
      </c>
      <c r="G49" s="257" t="str">
        <f t="shared" si="3"/>
        <v>M</v>
      </c>
      <c r="H49" s="365">
        <v>44</v>
      </c>
      <c r="I49" s="392" t="s">
        <v>1209</v>
      </c>
      <c r="J49" s="393"/>
      <c r="K49" s="395"/>
      <c r="L49" s="261" t="s">
        <v>1018</v>
      </c>
      <c r="M49" s="523"/>
      <c r="N49" s="397"/>
      <c r="O49" s="94" t="s">
        <v>163</v>
      </c>
      <c r="P49" s="116"/>
      <c r="Q49" s="365">
        <v>44</v>
      </c>
      <c r="R49" s="392" t="s">
        <v>1225</v>
      </c>
      <c r="S49" s="393"/>
      <c r="T49" s="395"/>
      <c r="U49" s="207"/>
      <c r="V49" s="142"/>
      <c r="W49" s="141"/>
      <c r="X49" s="141"/>
      <c r="Y49" s="141"/>
      <c r="Z49" s="226"/>
      <c r="AA49" s="421"/>
      <c r="AB49" s="421"/>
      <c r="AC49" s="421"/>
      <c r="AD49" s="243"/>
      <c r="AE49" s="3"/>
      <c r="AF49" s="3"/>
      <c r="AG49" s="3"/>
    </row>
    <row r="50" spans="1:33" s="5" customFormat="1" ht="12.75" customHeight="1" thickBot="1" x14ac:dyDescent="0.25">
      <c r="A50" s="269"/>
      <c r="B50" s="520"/>
      <c r="C50" s="455"/>
      <c r="D50" s="18" t="s">
        <v>140</v>
      </c>
      <c r="E50" s="229" t="str">
        <f>IF(LEFT($B$45,4)="4 - ",Notas!A351,"")</f>
        <v>SR4.6</v>
      </c>
      <c r="F50" s="160" t="str">
        <f t="shared" si="2"/>
        <v>M8 3P 0,5m</v>
      </c>
      <c r="G50" s="257" t="str">
        <f t="shared" si="3"/>
        <v>M</v>
      </c>
      <c r="H50" s="365">
        <v>45</v>
      </c>
      <c r="I50" s="392" t="s">
        <v>1210</v>
      </c>
      <c r="J50" s="393"/>
      <c r="K50" s="395"/>
      <c r="L50" s="261" t="s">
        <v>1018</v>
      </c>
      <c r="M50" s="524"/>
      <c r="N50" s="397"/>
      <c r="O50" s="94" t="s">
        <v>164</v>
      </c>
      <c r="P50" s="116" t="s">
        <v>992</v>
      </c>
      <c r="Q50" s="365">
        <v>45</v>
      </c>
      <c r="R50" s="389" t="s">
        <v>1226</v>
      </c>
      <c r="S50" s="390"/>
      <c r="T50" s="391"/>
      <c r="U50" s="207"/>
      <c r="V50" s="142" t="s">
        <v>411</v>
      </c>
      <c r="W50" s="261" t="s">
        <v>1160</v>
      </c>
      <c r="X50" s="261">
        <v>1</v>
      </c>
      <c r="Y50" s="261">
        <v>6</v>
      </c>
      <c r="Z50" s="226"/>
      <c r="AA50" s="426"/>
      <c r="AB50" s="426"/>
      <c r="AC50" s="426"/>
      <c r="AD50" s="243"/>
      <c r="AE50" s="3"/>
      <c r="AF50" s="3"/>
      <c r="AG50" s="3"/>
    </row>
    <row r="51" spans="1:33" s="5" customFormat="1" x14ac:dyDescent="0.2">
      <c r="A51" s="269"/>
      <c r="B51" s="520"/>
      <c r="C51" s="455"/>
      <c r="D51" s="18" t="s">
        <v>141</v>
      </c>
      <c r="E51" s="229" t="str">
        <f>IF(LEFT($B$45,4)="4 - ",Notas!A352,"")</f>
        <v>SR4.7</v>
      </c>
      <c r="F51" s="160" t="e">
        <f t="shared" si="2"/>
        <v>#N/A</v>
      </c>
      <c r="G51" s="257" t="e">
        <f t="shared" si="3"/>
        <v>#N/A</v>
      </c>
      <c r="H51" s="41">
        <v>46</v>
      </c>
      <c r="I51" s="392" t="s">
        <v>1186</v>
      </c>
      <c r="J51" s="393"/>
      <c r="K51" s="395"/>
      <c r="L51" s="261" t="s">
        <v>1188</v>
      </c>
      <c r="M51" s="298"/>
      <c r="N51" s="397"/>
      <c r="O51" s="94" t="s">
        <v>165</v>
      </c>
      <c r="P51" s="116" t="s">
        <v>1227</v>
      </c>
      <c r="Q51" s="365">
        <v>46</v>
      </c>
      <c r="R51" s="392" t="s">
        <v>1205</v>
      </c>
      <c r="S51" s="393"/>
      <c r="T51" s="395"/>
      <c r="U51" s="207"/>
      <c r="V51" s="142" t="s">
        <v>411</v>
      </c>
      <c r="W51" s="141"/>
      <c r="X51" s="141"/>
      <c r="Y51" s="141">
        <v>4</v>
      </c>
      <c r="Z51" s="226"/>
      <c r="AA51" s="426"/>
      <c r="AB51" s="426"/>
      <c r="AC51" s="426"/>
      <c r="AD51" s="243"/>
      <c r="AE51" s="3"/>
      <c r="AF51" s="3"/>
      <c r="AG51" s="3"/>
    </row>
    <row r="52" spans="1:33" s="5" customFormat="1" ht="13.5" customHeight="1" thickBot="1" x14ac:dyDescent="0.25">
      <c r="A52" s="269"/>
      <c r="B52" s="521"/>
      <c r="C52" s="456"/>
      <c r="D52" s="62" t="s">
        <v>142</v>
      </c>
      <c r="E52" s="242" t="str">
        <f>IF(LEFT($B$45,4)="4 - ",Notas!A353,"")</f>
        <v>SR4.8</v>
      </c>
      <c r="F52" s="237" t="e">
        <f t="shared" si="2"/>
        <v>#N/A</v>
      </c>
      <c r="G52" s="28" t="e">
        <f t="shared" si="3"/>
        <v>#N/A</v>
      </c>
      <c r="H52" s="43">
        <v>47</v>
      </c>
      <c r="I52" s="439" t="s">
        <v>1187</v>
      </c>
      <c r="J52" s="440"/>
      <c r="K52" s="441"/>
      <c r="L52" s="261" t="s">
        <v>1188</v>
      </c>
      <c r="M52" s="298"/>
      <c r="N52" s="398"/>
      <c r="O52" s="95" t="s">
        <v>166</v>
      </c>
      <c r="P52" s="28" t="s">
        <v>1228</v>
      </c>
      <c r="Q52" s="369">
        <v>47</v>
      </c>
      <c r="R52" s="427" t="s">
        <v>1206</v>
      </c>
      <c r="S52" s="428"/>
      <c r="T52" s="429"/>
      <c r="U52" s="207"/>
      <c r="V52" s="142" t="s">
        <v>411</v>
      </c>
      <c r="W52" s="141"/>
      <c r="X52" s="141"/>
      <c r="Y52" s="141"/>
      <c r="Z52" s="226"/>
      <c r="AA52" s="635" t="s">
        <v>925</v>
      </c>
      <c r="AB52" s="635"/>
      <c r="AC52" s="286">
        <f>SUM(AA53:AA60)</f>
        <v>6.23</v>
      </c>
      <c r="AD52" s="243"/>
      <c r="AE52" s="3"/>
      <c r="AF52" s="3"/>
      <c r="AG52" s="3"/>
    </row>
    <row r="53" spans="1:33" ht="12.75" customHeight="1" x14ac:dyDescent="0.2">
      <c r="A53" s="258"/>
      <c r="B53" s="383"/>
      <c r="C53" s="454" t="s">
        <v>918</v>
      </c>
      <c r="D53" s="18" t="s">
        <v>143</v>
      </c>
      <c r="E53" s="231" t="str">
        <f>IF(LEFT($B$53,4)="5 - ",Notas!A354,"")</f>
        <v/>
      </c>
      <c r="F53" s="160" t="str">
        <f t="shared" si="2"/>
        <v/>
      </c>
      <c r="G53" s="257" t="str">
        <f t="shared" si="3"/>
        <v/>
      </c>
      <c r="H53" s="366">
        <v>48</v>
      </c>
      <c r="I53" s="392" t="s">
        <v>1215</v>
      </c>
      <c r="J53" s="393"/>
      <c r="K53" s="395"/>
      <c r="L53" s="267"/>
      <c r="M53" s="522" t="s">
        <v>324</v>
      </c>
      <c r="N53" s="626" t="s">
        <v>919</v>
      </c>
      <c r="O53" s="17" t="s">
        <v>167</v>
      </c>
      <c r="P53" s="359" t="s">
        <v>993</v>
      </c>
      <c r="Q53" s="11">
        <v>48</v>
      </c>
      <c r="R53" s="498" t="s">
        <v>1139</v>
      </c>
      <c r="S53" s="499"/>
      <c r="T53" s="500"/>
      <c r="U53" s="294"/>
      <c r="V53" s="142" t="s">
        <v>412</v>
      </c>
      <c r="W53" s="261" t="s">
        <v>1158</v>
      </c>
      <c r="X53" s="141">
        <v>1</v>
      </c>
      <c r="Y53" s="142">
        <v>4</v>
      </c>
      <c r="Z53" s="226"/>
      <c r="AA53" s="284">
        <v>1</v>
      </c>
      <c r="AB53" s="284" t="s">
        <v>900</v>
      </c>
      <c r="AC53" s="284" t="s">
        <v>527</v>
      </c>
      <c r="AD53" s="243"/>
      <c r="AE53" s="2"/>
      <c r="AF53" s="2"/>
      <c r="AG53" s="2"/>
    </row>
    <row r="54" spans="1:33" x14ac:dyDescent="0.2">
      <c r="A54" s="258"/>
      <c r="B54" s="384"/>
      <c r="C54" s="455"/>
      <c r="D54" s="18" t="s">
        <v>144</v>
      </c>
      <c r="E54" s="257" t="str">
        <f>IF(LEFT($B$53,4)="5 - ",Notas!A355,"")</f>
        <v/>
      </c>
      <c r="F54" s="160" t="str">
        <f t="shared" si="2"/>
        <v/>
      </c>
      <c r="G54" s="257" t="str">
        <f t="shared" si="3"/>
        <v/>
      </c>
      <c r="H54" s="365">
        <v>49</v>
      </c>
      <c r="I54" s="392" t="s">
        <v>1216</v>
      </c>
      <c r="J54" s="393"/>
      <c r="K54" s="395"/>
      <c r="L54" s="267"/>
      <c r="M54" s="523"/>
      <c r="N54" s="627"/>
      <c r="O54" s="6" t="s">
        <v>168</v>
      </c>
      <c r="P54" s="116"/>
      <c r="Q54" s="41">
        <v>49</v>
      </c>
      <c r="R54" s="418" t="s">
        <v>1140</v>
      </c>
      <c r="S54" s="416"/>
      <c r="T54" s="419"/>
      <c r="U54" s="294"/>
      <c r="V54" s="141"/>
      <c r="W54" s="141"/>
      <c r="X54" s="141"/>
      <c r="Z54" s="226"/>
      <c r="AA54" s="284">
        <v>0.6</v>
      </c>
      <c r="AB54" s="284" t="s">
        <v>920</v>
      </c>
      <c r="AC54" s="284" t="s">
        <v>527</v>
      </c>
      <c r="AD54" s="243"/>
      <c r="AE54" s="2"/>
      <c r="AF54" s="2"/>
      <c r="AG54" s="2"/>
    </row>
    <row r="55" spans="1:33" x14ac:dyDescent="0.2">
      <c r="A55" s="258"/>
      <c r="B55" s="384"/>
      <c r="C55" s="455"/>
      <c r="D55" s="18" t="s">
        <v>145</v>
      </c>
      <c r="E55" s="257" t="str">
        <f>IF(LEFT($B$53,4)="5 - ",Notas!A356,"")</f>
        <v/>
      </c>
      <c r="F55" s="160" t="str">
        <f t="shared" si="2"/>
        <v/>
      </c>
      <c r="G55" s="257" t="str">
        <f t="shared" si="3"/>
        <v/>
      </c>
      <c r="H55" s="365">
        <v>50</v>
      </c>
      <c r="I55" s="392" t="s">
        <v>1217</v>
      </c>
      <c r="J55" s="393"/>
      <c r="K55" s="395"/>
      <c r="L55" s="267"/>
      <c r="M55" s="523"/>
      <c r="N55" s="627"/>
      <c r="O55" s="6" t="s">
        <v>169</v>
      </c>
      <c r="P55" s="116" t="s">
        <v>994</v>
      </c>
      <c r="Q55" s="41">
        <v>50</v>
      </c>
      <c r="R55" s="503" t="s">
        <v>1145</v>
      </c>
      <c r="S55" s="504"/>
      <c r="T55" s="505"/>
      <c r="U55" s="294"/>
      <c r="V55" s="142" t="s">
        <v>1166</v>
      </c>
      <c r="W55" s="142" t="s">
        <v>1162</v>
      </c>
      <c r="X55" s="141">
        <v>1</v>
      </c>
      <c r="Y55" s="141">
        <v>6</v>
      </c>
      <c r="Z55" s="226"/>
      <c r="AA55" s="284">
        <v>0.93</v>
      </c>
      <c r="AB55" s="284" t="s">
        <v>945</v>
      </c>
      <c r="AC55" s="284" t="s">
        <v>528</v>
      </c>
      <c r="AD55" s="243"/>
      <c r="AE55" s="2"/>
      <c r="AF55" s="2"/>
      <c r="AG55" s="2"/>
    </row>
    <row r="56" spans="1:33" s="5" customFormat="1" ht="13.5" thickBot="1" x14ac:dyDescent="0.25">
      <c r="A56" s="44"/>
      <c r="B56" s="384"/>
      <c r="C56" s="455"/>
      <c r="D56" s="18" t="s">
        <v>146</v>
      </c>
      <c r="E56" s="257" t="str">
        <f>IF(LEFT($B$53,4)="5 - ",Notas!A357,"")</f>
        <v/>
      </c>
      <c r="F56" s="160" t="str">
        <f t="shared" si="2"/>
        <v/>
      </c>
      <c r="G56" s="257" t="str">
        <f t="shared" si="3"/>
        <v/>
      </c>
      <c r="H56" s="365">
        <v>51</v>
      </c>
      <c r="I56" s="392" t="s">
        <v>1218</v>
      </c>
      <c r="J56" s="393"/>
      <c r="K56" s="395"/>
      <c r="L56" s="267"/>
      <c r="M56" s="524"/>
      <c r="N56" s="627"/>
      <c r="O56" s="6" t="s">
        <v>170</v>
      </c>
      <c r="P56" s="116"/>
      <c r="Q56" s="41">
        <v>51</v>
      </c>
      <c r="R56" s="457" t="s">
        <v>1146</v>
      </c>
      <c r="S56" s="458"/>
      <c r="T56" s="459"/>
      <c r="U56" s="294"/>
      <c r="V56" s="141"/>
      <c r="W56" s="141"/>
      <c r="X56" s="261"/>
      <c r="Y56" s="261"/>
      <c r="Z56" s="226"/>
      <c r="AA56" s="284">
        <v>0.4</v>
      </c>
      <c r="AB56" s="284" t="s">
        <v>922</v>
      </c>
      <c r="AC56" s="284" t="s">
        <v>924</v>
      </c>
      <c r="AD56" s="243"/>
      <c r="AE56" s="3"/>
      <c r="AF56" s="3"/>
      <c r="AG56" s="3"/>
    </row>
    <row r="57" spans="1:33" s="5" customFormat="1" x14ac:dyDescent="0.2">
      <c r="A57" s="44"/>
      <c r="B57" s="384"/>
      <c r="C57" s="455"/>
      <c r="D57" s="18" t="s">
        <v>147</v>
      </c>
      <c r="E57" s="257" t="str">
        <f>IF(LEFT($B$53,4)="5 - ",Notas!A358,"")</f>
        <v/>
      </c>
      <c r="F57" s="232" t="str">
        <f t="shared" si="2"/>
        <v/>
      </c>
      <c r="G57" s="257" t="str">
        <f t="shared" si="3"/>
        <v/>
      </c>
      <c r="H57" s="365">
        <v>52</v>
      </c>
      <c r="I57" s="392" t="s">
        <v>1219</v>
      </c>
      <c r="J57" s="393"/>
      <c r="K57" s="395"/>
      <c r="L57" s="267"/>
      <c r="M57" s="298"/>
      <c r="N57" s="627"/>
      <c r="O57" s="6" t="s">
        <v>171</v>
      </c>
      <c r="P57" s="116"/>
      <c r="Q57" s="41">
        <v>52</v>
      </c>
      <c r="R57" s="407" t="s">
        <v>269</v>
      </c>
      <c r="S57" s="408"/>
      <c r="T57" s="409"/>
      <c r="U57" s="207"/>
      <c r="V57" s="141"/>
      <c r="W57" s="141"/>
      <c r="X57" s="141"/>
      <c r="Y57" s="141"/>
      <c r="Z57" s="226"/>
      <c r="AA57" s="284">
        <v>0.4</v>
      </c>
      <c r="AB57" s="284" t="s">
        <v>921</v>
      </c>
      <c r="AC57" s="284" t="s">
        <v>924</v>
      </c>
      <c r="AD57" s="243"/>
      <c r="AE57" s="3"/>
      <c r="AF57" s="3"/>
      <c r="AG57" s="3"/>
    </row>
    <row r="58" spans="1:33" s="5" customFormat="1" x14ac:dyDescent="0.2">
      <c r="A58" s="44"/>
      <c r="B58" s="384"/>
      <c r="C58" s="455"/>
      <c r="D58" s="18" t="s">
        <v>148</v>
      </c>
      <c r="E58" s="257" t="str">
        <f>IF(LEFT($B$53,4)="5 - ",Notas!A359,"")</f>
        <v/>
      </c>
      <c r="F58" s="160" t="str">
        <f t="shared" si="2"/>
        <v/>
      </c>
      <c r="G58" s="257" t="str">
        <f t="shared" si="3"/>
        <v/>
      </c>
      <c r="H58" s="365">
        <v>53</v>
      </c>
      <c r="I58" s="392" t="s">
        <v>1220</v>
      </c>
      <c r="J58" s="393"/>
      <c r="K58" s="395"/>
      <c r="L58" s="267"/>
      <c r="M58" s="298"/>
      <c r="N58" s="627"/>
      <c r="O58" s="6" t="s">
        <v>172</v>
      </c>
      <c r="P58" s="116"/>
      <c r="Q58" s="41">
        <v>53</v>
      </c>
      <c r="R58" s="405" t="s">
        <v>269</v>
      </c>
      <c r="S58" s="406"/>
      <c r="T58" s="394"/>
      <c r="U58" s="207"/>
      <c r="V58" s="141"/>
      <c r="W58" s="141"/>
      <c r="X58" s="141"/>
      <c r="Y58" s="141"/>
      <c r="Z58" s="226"/>
      <c r="AA58" s="356">
        <v>2.4</v>
      </c>
      <c r="AB58" s="284" t="s">
        <v>923</v>
      </c>
      <c r="AC58" s="284" t="s">
        <v>527</v>
      </c>
      <c r="AD58" s="243"/>
      <c r="AE58" s="3"/>
      <c r="AF58" s="3"/>
      <c r="AG58" s="3"/>
    </row>
    <row r="59" spans="1:33" s="5" customFormat="1" x14ac:dyDescent="0.2">
      <c r="A59" s="44"/>
      <c r="B59" s="384"/>
      <c r="C59" s="455"/>
      <c r="D59" s="18" t="s">
        <v>149</v>
      </c>
      <c r="E59" s="257" t="str">
        <f>IF(LEFT($B$53,4)="5 - ",Notas!A360,"")</f>
        <v/>
      </c>
      <c r="F59" s="160" t="str">
        <f t="shared" si="2"/>
        <v/>
      </c>
      <c r="G59" s="257" t="str">
        <f t="shared" si="3"/>
        <v/>
      </c>
      <c r="H59" s="40">
        <v>54</v>
      </c>
      <c r="I59" s="415" t="s">
        <v>269</v>
      </c>
      <c r="J59" s="416" t="s">
        <v>260</v>
      </c>
      <c r="K59" s="417" t="s">
        <v>260</v>
      </c>
      <c r="L59" s="267"/>
      <c r="M59" s="298"/>
      <c r="N59" s="627"/>
      <c r="O59" s="6" t="s">
        <v>173</v>
      </c>
      <c r="P59" s="116"/>
      <c r="Q59" s="41">
        <v>54</v>
      </c>
      <c r="R59" s="405" t="s">
        <v>269</v>
      </c>
      <c r="S59" s="406"/>
      <c r="T59" s="394"/>
      <c r="U59" s="207"/>
      <c r="V59" s="141"/>
      <c r="W59" s="141"/>
      <c r="X59" s="141"/>
      <c r="Y59" s="141"/>
      <c r="Z59" s="226"/>
      <c r="AA59" s="357">
        <f>5*0.1</f>
        <v>0.5</v>
      </c>
      <c r="AB59" s="285" t="s">
        <v>942</v>
      </c>
      <c r="AC59" s="285" t="s">
        <v>536</v>
      </c>
      <c r="AD59" s="243"/>
      <c r="AE59" s="3"/>
      <c r="AF59" s="3"/>
      <c r="AG59" s="3"/>
    </row>
    <row r="60" spans="1:33" s="5" customFormat="1" ht="13.5" customHeight="1" thickBot="1" x14ac:dyDescent="0.25">
      <c r="A60" s="44"/>
      <c r="B60" s="385"/>
      <c r="C60" s="455"/>
      <c r="D60" s="62" t="s">
        <v>150</v>
      </c>
      <c r="E60" s="242" t="str">
        <f>IF(LEFT($B$53,4)="5 - ",Notas!A361,"")</f>
        <v/>
      </c>
      <c r="F60" s="237" t="e">
        <f t="shared" si="2"/>
        <v>#N/A</v>
      </c>
      <c r="G60" s="28" t="e">
        <f t="shared" si="3"/>
        <v>#N/A</v>
      </c>
      <c r="H60" s="364">
        <v>55</v>
      </c>
      <c r="I60" s="418" t="s">
        <v>1202</v>
      </c>
      <c r="J60" s="416" t="s">
        <v>260</v>
      </c>
      <c r="K60" s="419" t="s">
        <v>260</v>
      </c>
      <c r="L60" s="261" t="s">
        <v>1198</v>
      </c>
      <c r="M60" s="298"/>
      <c r="N60" s="627"/>
      <c r="O60" s="8" t="s">
        <v>174</v>
      </c>
      <c r="P60" s="28"/>
      <c r="Q60" s="50">
        <v>55</v>
      </c>
      <c r="R60" s="399" t="s">
        <v>269</v>
      </c>
      <c r="S60" s="400"/>
      <c r="T60" s="401"/>
      <c r="U60" s="207"/>
      <c r="V60" s="141"/>
      <c r="W60" s="141"/>
      <c r="X60" s="261"/>
      <c r="Y60" s="261"/>
      <c r="Z60" s="226"/>
      <c r="AA60" s="285"/>
      <c r="AB60" s="285"/>
      <c r="AC60" s="285"/>
      <c r="AD60" s="243"/>
      <c r="AE60" s="3"/>
      <c r="AF60" s="3"/>
      <c r="AG60" s="3"/>
    </row>
    <row r="61" spans="1:33" s="5" customFormat="1" ht="12.75" customHeight="1" x14ac:dyDescent="0.2">
      <c r="A61" s="44"/>
      <c r="B61" s="383"/>
      <c r="C61" s="455"/>
      <c r="D61" s="125" t="s">
        <v>281</v>
      </c>
      <c r="E61" s="235" t="str">
        <f>IF(LEFT($B$61,4)="6 - ",Notas!A362,"")</f>
        <v/>
      </c>
      <c r="F61" s="160" t="str">
        <f t="shared" si="2"/>
        <v/>
      </c>
      <c r="G61" s="257" t="str">
        <f t="shared" si="3"/>
        <v/>
      </c>
      <c r="H61" s="123">
        <v>56</v>
      </c>
      <c r="I61" s="498" t="s">
        <v>1148</v>
      </c>
      <c r="J61" s="499" t="s">
        <v>260</v>
      </c>
      <c r="K61" s="500" t="s">
        <v>260</v>
      </c>
      <c r="L61" s="267"/>
      <c r="M61" s="298"/>
      <c r="N61" s="627"/>
      <c r="O61" s="18" t="s">
        <v>289</v>
      </c>
      <c r="P61" s="164"/>
      <c r="Q61" s="159">
        <v>56</v>
      </c>
      <c r="R61" s="430" t="s">
        <v>269</v>
      </c>
      <c r="S61" s="431"/>
      <c r="T61" s="432"/>
      <c r="U61" s="207"/>
      <c r="V61" s="142"/>
      <c r="W61" s="141"/>
      <c r="X61" s="261"/>
      <c r="Y61" s="261"/>
      <c r="Z61" s="266"/>
      <c r="AA61" s="284"/>
      <c r="AB61" s="284"/>
      <c r="AC61" s="284"/>
      <c r="AD61" s="243"/>
      <c r="AE61" s="3"/>
      <c r="AF61" s="3"/>
      <c r="AG61" s="3"/>
    </row>
    <row r="62" spans="1:33" s="5" customFormat="1" x14ac:dyDescent="0.2">
      <c r="A62" s="44"/>
      <c r="B62" s="384"/>
      <c r="C62" s="455"/>
      <c r="D62" s="6" t="s">
        <v>282</v>
      </c>
      <c r="E62" s="257" t="str">
        <f>IF(LEFT($B$61,4)="6 - ",Notas!A363,"")</f>
        <v/>
      </c>
      <c r="F62" s="160" t="str">
        <f t="shared" si="2"/>
        <v/>
      </c>
      <c r="G62" s="257" t="str">
        <f t="shared" si="3"/>
        <v/>
      </c>
      <c r="H62" s="40">
        <v>57</v>
      </c>
      <c r="I62" s="418" t="s">
        <v>1149</v>
      </c>
      <c r="J62" s="416" t="s">
        <v>260</v>
      </c>
      <c r="K62" s="419" t="s">
        <v>260</v>
      </c>
      <c r="L62" s="267"/>
      <c r="M62" s="298"/>
      <c r="N62" s="627"/>
      <c r="O62" s="6" t="s">
        <v>290</v>
      </c>
      <c r="P62" s="257"/>
      <c r="Q62" s="47">
        <v>57</v>
      </c>
      <c r="R62" s="405" t="s">
        <v>269</v>
      </c>
      <c r="S62" s="406"/>
      <c r="T62" s="394"/>
      <c r="U62" s="207"/>
      <c r="V62" s="142"/>
      <c r="W62" s="141"/>
      <c r="X62" s="261"/>
      <c r="Y62" s="261"/>
      <c r="Z62" s="266"/>
      <c r="AA62" s="318"/>
      <c r="AB62" s="318"/>
      <c r="AC62" s="318"/>
      <c r="AD62" s="243"/>
      <c r="AE62" s="3"/>
      <c r="AF62" s="3"/>
      <c r="AG62" s="3"/>
    </row>
    <row r="63" spans="1:33" s="5" customFormat="1" ht="12.75" customHeight="1" x14ac:dyDescent="0.2">
      <c r="A63" s="44"/>
      <c r="B63" s="384"/>
      <c r="C63" s="455"/>
      <c r="D63" s="6" t="s">
        <v>283</v>
      </c>
      <c r="E63" s="231" t="str">
        <f>IF(LEFT($B$61,4)="6 - ",Notas!A364,"")</f>
        <v/>
      </c>
      <c r="F63" s="160" t="str">
        <f t="shared" si="2"/>
        <v/>
      </c>
      <c r="G63" s="257" t="str">
        <f t="shared" si="3"/>
        <v/>
      </c>
      <c r="H63" s="124">
        <v>58</v>
      </c>
      <c r="I63" s="418" t="s">
        <v>1150</v>
      </c>
      <c r="J63" s="416" t="s">
        <v>260</v>
      </c>
      <c r="K63" s="419" t="s">
        <v>260</v>
      </c>
      <c r="L63" s="267"/>
      <c r="M63" s="298"/>
      <c r="N63" s="627"/>
      <c r="O63" s="6" t="s">
        <v>291</v>
      </c>
      <c r="P63" s="27"/>
      <c r="Q63" s="47">
        <v>58</v>
      </c>
      <c r="R63" s="405" t="s">
        <v>269</v>
      </c>
      <c r="S63" s="406"/>
      <c r="T63" s="394"/>
      <c r="U63" s="207"/>
      <c r="V63" s="142"/>
      <c r="W63" s="141"/>
      <c r="X63" s="141"/>
      <c r="Y63" s="141"/>
      <c r="Z63" s="266"/>
      <c r="AA63" s="318"/>
      <c r="AB63" s="318"/>
      <c r="AC63" s="318"/>
      <c r="AD63" s="316"/>
      <c r="AE63" s="3"/>
      <c r="AF63" s="3"/>
      <c r="AG63" s="3"/>
    </row>
    <row r="64" spans="1:33" s="5" customFormat="1" ht="12.75" customHeight="1" x14ac:dyDescent="0.2">
      <c r="A64" s="44"/>
      <c r="B64" s="384"/>
      <c r="C64" s="455"/>
      <c r="D64" s="6" t="s">
        <v>284</v>
      </c>
      <c r="E64" s="257" t="str">
        <f>IF(LEFT($B$61,4)="6 - ",Notas!A365,"")</f>
        <v/>
      </c>
      <c r="F64" s="160" t="str">
        <f t="shared" si="2"/>
        <v/>
      </c>
      <c r="G64" s="257" t="str">
        <f t="shared" si="3"/>
        <v/>
      </c>
      <c r="H64" s="40">
        <v>59</v>
      </c>
      <c r="I64" s="418" t="s">
        <v>1151</v>
      </c>
      <c r="J64" s="416" t="s">
        <v>260</v>
      </c>
      <c r="K64" s="419" t="s">
        <v>260</v>
      </c>
      <c r="L64" s="267"/>
      <c r="M64" s="298"/>
      <c r="N64" s="627"/>
      <c r="O64" s="6" t="s">
        <v>292</v>
      </c>
      <c r="P64" s="257"/>
      <c r="Q64" s="47">
        <v>59</v>
      </c>
      <c r="R64" s="405" t="s">
        <v>269</v>
      </c>
      <c r="S64" s="406"/>
      <c r="T64" s="394"/>
      <c r="U64" s="207"/>
      <c r="V64" s="142"/>
      <c r="W64" s="261"/>
      <c r="X64" s="141"/>
      <c r="Y64" s="141"/>
      <c r="Z64" s="266"/>
      <c r="AA64" s="318"/>
      <c r="AB64" s="318"/>
      <c r="AC64" s="318"/>
      <c r="AD64" s="316"/>
      <c r="AE64" s="3"/>
      <c r="AF64" s="3"/>
      <c r="AG64" s="3"/>
    </row>
    <row r="65" spans="1:33" s="5" customFormat="1" x14ac:dyDescent="0.2">
      <c r="A65" s="44"/>
      <c r="B65" s="384"/>
      <c r="C65" s="455"/>
      <c r="D65" s="6" t="s">
        <v>285</v>
      </c>
      <c r="E65" s="231" t="str">
        <f>IF(LEFT($B$61,4)="6 - ",Notas!A366,"")</f>
        <v/>
      </c>
      <c r="F65" s="101" t="str">
        <f t="shared" si="2"/>
        <v>2m</v>
      </c>
      <c r="G65" s="257" t="str">
        <f t="shared" si="3"/>
        <v>B</v>
      </c>
      <c r="H65" s="124">
        <v>60</v>
      </c>
      <c r="I65" s="418" t="s">
        <v>1152</v>
      </c>
      <c r="J65" s="416" t="s">
        <v>260</v>
      </c>
      <c r="K65" s="419" t="s">
        <v>260</v>
      </c>
      <c r="L65" s="261" t="s">
        <v>976</v>
      </c>
      <c r="M65" s="298"/>
      <c r="N65" s="627"/>
      <c r="O65" s="6" t="s">
        <v>293</v>
      </c>
      <c r="P65" s="27"/>
      <c r="Q65" s="47">
        <v>60</v>
      </c>
      <c r="R65" s="405" t="s">
        <v>269</v>
      </c>
      <c r="S65" s="406"/>
      <c r="T65" s="394"/>
      <c r="U65" s="207"/>
      <c r="V65" s="142"/>
      <c r="W65" s="261"/>
      <c r="X65" s="141"/>
      <c r="Y65" s="141"/>
      <c r="Z65" s="266"/>
      <c r="AA65" s="318"/>
      <c r="AB65" s="318"/>
      <c r="AC65" s="318"/>
      <c r="AD65" s="316"/>
      <c r="AE65" s="3"/>
      <c r="AF65" s="3"/>
      <c r="AG65" s="3"/>
    </row>
    <row r="66" spans="1:33" s="5" customFormat="1" x14ac:dyDescent="0.2">
      <c r="A66" s="44"/>
      <c r="B66" s="384"/>
      <c r="C66" s="455"/>
      <c r="D66" s="6" t="s">
        <v>286</v>
      </c>
      <c r="E66" s="257" t="str">
        <f>IF(LEFT($B$61,4)="6 - ",Notas!A367,"")</f>
        <v/>
      </c>
      <c r="F66" s="160" t="e">
        <f t="shared" si="2"/>
        <v>#N/A</v>
      </c>
      <c r="G66" s="257" t="e">
        <f t="shared" si="3"/>
        <v>#N/A</v>
      </c>
      <c r="H66" s="40">
        <v>61</v>
      </c>
      <c r="I66" s="418" t="s">
        <v>1201</v>
      </c>
      <c r="J66" s="416" t="s">
        <v>260</v>
      </c>
      <c r="K66" s="419" t="s">
        <v>260</v>
      </c>
      <c r="L66" s="261" t="s">
        <v>1198</v>
      </c>
      <c r="M66" s="298"/>
      <c r="N66" s="627"/>
      <c r="O66" s="6" t="s">
        <v>294</v>
      </c>
      <c r="P66" s="257"/>
      <c r="Q66" s="47">
        <v>61</v>
      </c>
      <c r="R66" s="405" t="s">
        <v>269</v>
      </c>
      <c r="S66" s="406"/>
      <c r="T66" s="394"/>
      <c r="U66" s="115"/>
      <c r="V66" s="142"/>
      <c r="W66" s="141"/>
      <c r="X66" s="141"/>
      <c r="Y66" s="141"/>
      <c r="Z66" s="266"/>
      <c r="AA66" s="318"/>
      <c r="AB66" s="318"/>
      <c r="AC66" s="318"/>
      <c r="AD66" s="316"/>
      <c r="AE66" s="3"/>
      <c r="AF66" s="3"/>
      <c r="AG66" s="3"/>
    </row>
    <row r="67" spans="1:33" s="5" customFormat="1" x14ac:dyDescent="0.2">
      <c r="A67" s="44"/>
      <c r="B67" s="384"/>
      <c r="C67" s="455"/>
      <c r="D67" s="6" t="s">
        <v>287</v>
      </c>
      <c r="E67" s="231" t="str">
        <f>IF(LEFT($B$61,4)="6 - ",Notas!A368,"")</f>
        <v/>
      </c>
      <c r="F67" s="160" t="str">
        <f t="shared" si="2"/>
        <v/>
      </c>
      <c r="G67" s="257" t="str">
        <f t="shared" si="3"/>
        <v/>
      </c>
      <c r="H67" s="124">
        <v>62</v>
      </c>
      <c r="I67" s="392" t="s">
        <v>1091</v>
      </c>
      <c r="J67" s="393"/>
      <c r="K67" s="395"/>
      <c r="L67" s="267"/>
      <c r="M67" s="298"/>
      <c r="N67" s="627"/>
      <c r="O67" s="6" t="s">
        <v>295</v>
      </c>
      <c r="P67" s="257"/>
      <c r="Q67" s="47">
        <v>62</v>
      </c>
      <c r="R67" s="405" t="s">
        <v>269</v>
      </c>
      <c r="S67" s="406"/>
      <c r="T67" s="394"/>
      <c r="U67" s="115"/>
      <c r="V67" s="142"/>
      <c r="W67" s="141"/>
      <c r="X67" s="141"/>
      <c r="Y67" s="141"/>
      <c r="Z67" s="266"/>
      <c r="AA67" s="318"/>
      <c r="AB67" s="319"/>
      <c r="AC67" s="318"/>
      <c r="AD67" s="316"/>
      <c r="AE67" s="3"/>
      <c r="AF67" s="3"/>
      <c r="AG67" s="3"/>
    </row>
    <row r="68" spans="1:33" s="5" customFormat="1" ht="13.5" thickBot="1" x14ac:dyDescent="0.25">
      <c r="A68" s="44"/>
      <c r="B68" s="385"/>
      <c r="C68" s="456"/>
      <c r="D68" s="8" t="s">
        <v>288</v>
      </c>
      <c r="E68" s="28" t="str">
        <f>IF(LEFT($B$61,4)="6 - ",Notas!A369,"")</f>
        <v/>
      </c>
      <c r="F68" s="237" t="str">
        <f t="shared" si="2"/>
        <v/>
      </c>
      <c r="G68" s="28" t="str">
        <f t="shared" si="3"/>
        <v/>
      </c>
      <c r="H68" s="43">
        <v>63</v>
      </c>
      <c r="I68" s="439" t="s">
        <v>1092</v>
      </c>
      <c r="J68" s="440"/>
      <c r="K68" s="441"/>
      <c r="L68" s="267"/>
      <c r="M68" s="358"/>
      <c r="N68" s="628"/>
      <c r="O68" s="8" t="s">
        <v>296</v>
      </c>
      <c r="P68" s="28"/>
      <c r="Q68" s="90">
        <v>63</v>
      </c>
      <c r="R68" s="399" t="s">
        <v>269</v>
      </c>
      <c r="S68" s="400"/>
      <c r="T68" s="401"/>
      <c r="U68" s="115"/>
      <c r="V68" s="142"/>
      <c r="W68" s="141"/>
      <c r="X68" s="141"/>
      <c r="Y68" s="141"/>
      <c r="Z68" s="266"/>
      <c r="AA68" s="318"/>
      <c r="AB68" s="319"/>
      <c r="AC68" s="318"/>
      <c r="AD68" s="316"/>
      <c r="AE68" s="3"/>
      <c r="AF68" s="3"/>
      <c r="AG68" s="3"/>
    </row>
    <row r="69" spans="1:33" s="5" customFormat="1" ht="13.5" customHeight="1" outlineLevel="1" x14ac:dyDescent="0.2">
      <c r="A69" s="44"/>
      <c r="B69" s="383"/>
      <c r="C69" s="454"/>
      <c r="D69" s="17" t="s">
        <v>330</v>
      </c>
      <c r="E69" s="26" t="str">
        <f>IF(LEFT($B$69,4)="7 - ",Notas!A370,"")</f>
        <v/>
      </c>
      <c r="F69" s="236" t="str">
        <f t="shared" ref="F69:F84" si="4">IF(L69="","",VLOOKUP(L69,Tabela_Sensores,6,FALSE))</f>
        <v/>
      </c>
      <c r="G69" s="26" t="str">
        <f t="shared" ref="G69:G84" si="5">IF(L69="","",VLOOKUP(L69,Tabela_Sensores,5,FALSE))</f>
        <v/>
      </c>
      <c r="H69" s="156">
        <v>64</v>
      </c>
      <c r="I69" s="374" t="s">
        <v>1231</v>
      </c>
      <c r="J69" s="375"/>
      <c r="K69" s="376"/>
      <c r="L69" s="267"/>
      <c r="M69" s="516" t="s">
        <v>324</v>
      </c>
      <c r="N69" s="626" t="s">
        <v>919</v>
      </c>
      <c r="O69" s="17" t="s">
        <v>331</v>
      </c>
      <c r="P69" s="116" t="s">
        <v>995</v>
      </c>
      <c r="Q69" s="46">
        <v>64</v>
      </c>
      <c r="R69" s="418" t="s">
        <v>1141</v>
      </c>
      <c r="S69" s="416"/>
      <c r="T69" s="419"/>
      <c r="U69" s="294"/>
      <c r="V69" s="142" t="s">
        <v>412</v>
      </c>
      <c r="W69" s="261" t="s">
        <v>1158</v>
      </c>
      <c r="X69" s="141">
        <v>1</v>
      </c>
      <c r="Y69" s="142">
        <v>4</v>
      </c>
      <c r="Z69" s="259"/>
      <c r="AA69" s="318"/>
      <c r="AB69" s="318"/>
      <c r="AC69" s="318"/>
      <c r="AD69" s="316"/>
      <c r="AE69" s="3"/>
      <c r="AF69" s="3"/>
      <c r="AG69" s="3"/>
    </row>
    <row r="70" spans="1:33" s="5" customFormat="1" ht="13.5" customHeight="1" outlineLevel="1" x14ac:dyDescent="0.2">
      <c r="A70" s="44"/>
      <c r="B70" s="384"/>
      <c r="C70" s="455"/>
      <c r="D70" s="6" t="s">
        <v>332</v>
      </c>
      <c r="E70" s="257" t="str">
        <f>IF(LEFT($B$69,4)="7 - ",Notas!A371,"")</f>
        <v/>
      </c>
      <c r="F70" s="160" t="str">
        <f t="shared" si="4"/>
        <v/>
      </c>
      <c r="G70" s="257" t="str">
        <f t="shared" si="5"/>
        <v/>
      </c>
      <c r="H70" s="157">
        <v>65</v>
      </c>
      <c r="I70" s="415"/>
      <c r="J70" s="416"/>
      <c r="K70" s="417"/>
      <c r="L70" s="267"/>
      <c r="M70" s="517"/>
      <c r="N70" s="627"/>
      <c r="O70" s="6" t="s">
        <v>333</v>
      </c>
      <c r="P70" s="116"/>
      <c r="Q70" s="47">
        <v>65</v>
      </c>
      <c r="R70" s="418" t="s">
        <v>1142</v>
      </c>
      <c r="S70" s="416"/>
      <c r="T70" s="419"/>
      <c r="U70" s="294"/>
      <c r="V70" s="142"/>
      <c r="W70" s="140"/>
      <c r="X70" s="261"/>
      <c r="Y70" s="261"/>
      <c r="Z70" s="259"/>
      <c r="AA70" s="318"/>
      <c r="AB70" s="318"/>
      <c r="AC70" s="318"/>
      <c r="AD70" s="316"/>
      <c r="AE70" s="3"/>
      <c r="AF70" s="3"/>
      <c r="AG70" s="3"/>
    </row>
    <row r="71" spans="1:33" s="5" customFormat="1" ht="13.5" customHeight="1" outlineLevel="1" x14ac:dyDescent="0.2">
      <c r="A71" s="44"/>
      <c r="B71" s="384"/>
      <c r="C71" s="455"/>
      <c r="D71" s="6" t="s">
        <v>334</v>
      </c>
      <c r="E71" s="257" t="str">
        <f>IF(LEFT($B$69,4)="7 - ",Notas!A372,"")</f>
        <v/>
      </c>
      <c r="F71" s="160" t="str">
        <f t="shared" si="4"/>
        <v/>
      </c>
      <c r="G71" s="257" t="str">
        <f t="shared" si="5"/>
        <v/>
      </c>
      <c r="H71" s="157">
        <v>66</v>
      </c>
      <c r="I71" s="415"/>
      <c r="J71" s="416"/>
      <c r="K71" s="417"/>
      <c r="L71" s="267"/>
      <c r="M71" s="517"/>
      <c r="N71" s="627"/>
      <c r="O71" s="6" t="s">
        <v>335</v>
      </c>
      <c r="P71" s="116" t="s">
        <v>1135</v>
      </c>
      <c r="Q71" s="47">
        <v>66</v>
      </c>
      <c r="R71" s="503" t="s">
        <v>1143</v>
      </c>
      <c r="S71" s="504"/>
      <c r="T71" s="505"/>
      <c r="U71" s="294"/>
      <c r="V71" s="142" t="s">
        <v>1166</v>
      </c>
      <c r="W71" s="142" t="s">
        <v>1163</v>
      </c>
      <c r="X71" s="141">
        <v>1</v>
      </c>
      <c r="Y71" s="141">
        <v>6</v>
      </c>
      <c r="Z71" s="259"/>
      <c r="AA71" s="318"/>
      <c r="AB71" s="318"/>
      <c r="AC71" s="318"/>
      <c r="AD71" s="316"/>
      <c r="AE71" s="3"/>
      <c r="AF71" s="3"/>
      <c r="AG71" s="3"/>
    </row>
    <row r="72" spans="1:33" s="5" customFormat="1" ht="13.5" customHeight="1" outlineLevel="1" thickBot="1" x14ac:dyDescent="0.25">
      <c r="A72" s="44"/>
      <c r="B72" s="384"/>
      <c r="C72" s="455"/>
      <c r="D72" s="6" t="s">
        <v>336</v>
      </c>
      <c r="E72" s="257" t="str">
        <f>IF(LEFT($B$69,4)="7 - ",Notas!A373,"")</f>
        <v/>
      </c>
      <c r="F72" s="160" t="str">
        <f t="shared" si="4"/>
        <v/>
      </c>
      <c r="G72" s="257" t="str">
        <f t="shared" si="5"/>
        <v/>
      </c>
      <c r="H72" s="157">
        <v>67</v>
      </c>
      <c r="I72" s="415"/>
      <c r="J72" s="416"/>
      <c r="K72" s="417"/>
      <c r="L72" s="267"/>
      <c r="M72" s="518"/>
      <c r="N72" s="627"/>
      <c r="O72" s="6" t="s">
        <v>337</v>
      </c>
      <c r="P72" s="257"/>
      <c r="Q72" s="47">
        <v>67</v>
      </c>
      <c r="R72" s="457" t="s">
        <v>1144</v>
      </c>
      <c r="S72" s="458"/>
      <c r="T72" s="459"/>
      <c r="U72" s="294"/>
      <c r="V72" s="142"/>
      <c r="W72" s="140"/>
      <c r="X72" s="261"/>
      <c r="Y72" s="261"/>
      <c r="Z72" s="259"/>
      <c r="AA72" s="318"/>
      <c r="AB72" s="318"/>
      <c r="AC72" s="318"/>
      <c r="AD72" s="316"/>
      <c r="AE72" s="3"/>
      <c r="AF72" s="3"/>
      <c r="AG72" s="3"/>
    </row>
    <row r="73" spans="1:33" s="5" customFormat="1" ht="13.5" customHeight="1" outlineLevel="1" x14ac:dyDescent="0.2">
      <c r="A73" s="44"/>
      <c r="B73" s="384"/>
      <c r="C73" s="455"/>
      <c r="D73" s="6" t="s">
        <v>338</v>
      </c>
      <c r="E73" s="257" t="str">
        <f>IF(LEFT($B$69,4)="7 - ",Notas!A374,"")</f>
        <v/>
      </c>
      <c r="F73" s="160" t="str">
        <f t="shared" si="4"/>
        <v/>
      </c>
      <c r="G73" s="257" t="str">
        <f t="shared" si="5"/>
        <v/>
      </c>
      <c r="H73" s="157">
        <v>68</v>
      </c>
      <c r="I73" s="415"/>
      <c r="J73" s="416"/>
      <c r="K73" s="417"/>
      <c r="L73" s="267"/>
      <c r="M73" s="260"/>
      <c r="N73" s="627"/>
      <c r="O73" s="6" t="s">
        <v>339</v>
      </c>
      <c r="P73" s="257"/>
      <c r="Q73" s="47">
        <v>68</v>
      </c>
      <c r="R73" s="407" t="s">
        <v>269</v>
      </c>
      <c r="S73" s="408"/>
      <c r="T73" s="409"/>
      <c r="U73" s="186"/>
      <c r="V73" s="142"/>
      <c r="W73" s="140"/>
      <c r="X73" s="261"/>
      <c r="Y73" s="261"/>
      <c r="Z73" s="259"/>
      <c r="AA73" s="318"/>
      <c r="AB73" s="318"/>
      <c r="AC73" s="318"/>
      <c r="AD73" s="316"/>
      <c r="AE73" s="3"/>
      <c r="AF73" s="3"/>
      <c r="AG73" s="3"/>
    </row>
    <row r="74" spans="1:33" s="5" customFormat="1" ht="13.5" customHeight="1" outlineLevel="1" x14ac:dyDescent="0.2">
      <c r="A74" s="44"/>
      <c r="B74" s="384"/>
      <c r="C74" s="455"/>
      <c r="D74" s="6" t="s">
        <v>340</v>
      </c>
      <c r="E74" s="257" t="str">
        <f>IF(LEFT($B$69,4)="7 - ",Notas!A375,"")</f>
        <v/>
      </c>
      <c r="F74" s="160" t="str">
        <f t="shared" si="4"/>
        <v/>
      </c>
      <c r="G74" s="257" t="str">
        <f t="shared" si="5"/>
        <v/>
      </c>
      <c r="H74" s="157">
        <v>69</v>
      </c>
      <c r="I74" s="415"/>
      <c r="J74" s="416"/>
      <c r="K74" s="417"/>
      <c r="L74" s="267"/>
      <c r="M74" s="260"/>
      <c r="N74" s="627"/>
      <c r="O74" s="6" t="s">
        <v>341</v>
      </c>
      <c r="P74" s="257"/>
      <c r="Q74" s="47">
        <v>69</v>
      </c>
      <c r="R74" s="405" t="s">
        <v>269</v>
      </c>
      <c r="S74" s="406"/>
      <c r="T74" s="394"/>
      <c r="U74" s="186"/>
      <c r="V74" s="142"/>
      <c r="W74" s="140"/>
      <c r="X74" s="261"/>
      <c r="Y74" s="261"/>
      <c r="Z74" s="259"/>
      <c r="AA74" s="318"/>
      <c r="AB74" s="318"/>
      <c r="AC74" s="318"/>
      <c r="AD74" s="316"/>
      <c r="AE74" s="3"/>
      <c r="AF74" s="3"/>
      <c r="AG74" s="3"/>
    </row>
    <row r="75" spans="1:33" s="5" customFormat="1" ht="13.5" customHeight="1" outlineLevel="1" x14ac:dyDescent="0.2">
      <c r="A75" s="44"/>
      <c r="B75" s="384"/>
      <c r="C75" s="455"/>
      <c r="D75" s="6" t="s">
        <v>342</v>
      </c>
      <c r="E75" s="257" t="str">
        <f>IF(LEFT($B$69,4)="7 - ",Notas!A376,"")</f>
        <v/>
      </c>
      <c r="F75" s="160" t="str">
        <f t="shared" si="4"/>
        <v/>
      </c>
      <c r="G75" s="257" t="str">
        <f t="shared" si="5"/>
        <v/>
      </c>
      <c r="H75" s="157">
        <v>70</v>
      </c>
      <c r="I75" s="415"/>
      <c r="J75" s="416"/>
      <c r="K75" s="417"/>
      <c r="L75" s="267"/>
      <c r="M75" s="260"/>
      <c r="N75" s="627"/>
      <c r="O75" s="6" t="s">
        <v>343</v>
      </c>
      <c r="P75" s="257"/>
      <c r="Q75" s="47">
        <v>70</v>
      </c>
      <c r="R75" s="405" t="s">
        <v>269</v>
      </c>
      <c r="S75" s="406"/>
      <c r="T75" s="394"/>
      <c r="U75" s="186"/>
      <c r="V75" s="142"/>
      <c r="W75" s="140"/>
      <c r="X75" s="261"/>
      <c r="Y75" s="261"/>
      <c r="Z75" s="259"/>
      <c r="AA75" s="373"/>
      <c r="AB75" s="373"/>
      <c r="AC75" s="373"/>
      <c r="AD75" s="316"/>
      <c r="AE75" s="3"/>
      <c r="AF75" s="3"/>
      <c r="AG75" s="3"/>
    </row>
    <row r="76" spans="1:33" s="5" customFormat="1" ht="13.5" customHeight="1" outlineLevel="1" thickBot="1" x14ac:dyDescent="0.25">
      <c r="A76" s="44"/>
      <c r="B76" s="385"/>
      <c r="C76" s="455"/>
      <c r="D76" s="8" t="s">
        <v>344</v>
      </c>
      <c r="E76" s="28" t="str">
        <f>IF(LEFT($B$69,4)="7 - ",Notas!A377,"")</f>
        <v/>
      </c>
      <c r="F76" s="237" t="str">
        <f t="shared" si="4"/>
        <v/>
      </c>
      <c r="G76" s="28" t="str">
        <f t="shared" si="5"/>
        <v/>
      </c>
      <c r="H76" s="158">
        <v>71</v>
      </c>
      <c r="I76" s="412"/>
      <c r="J76" s="413"/>
      <c r="K76" s="414"/>
      <c r="L76" s="267"/>
      <c r="M76" s="260"/>
      <c r="N76" s="627"/>
      <c r="O76" s="8" t="s">
        <v>345</v>
      </c>
      <c r="P76" s="28"/>
      <c r="Q76" s="90">
        <v>71</v>
      </c>
      <c r="R76" s="399" t="s">
        <v>269</v>
      </c>
      <c r="S76" s="400"/>
      <c r="T76" s="401"/>
      <c r="U76" s="186"/>
      <c r="V76" s="142"/>
      <c r="W76" s="261"/>
      <c r="X76" s="261"/>
      <c r="Y76" s="261"/>
      <c r="Z76" s="259"/>
      <c r="AA76" s="318"/>
      <c r="AB76" s="318"/>
      <c r="AC76" s="318"/>
      <c r="AD76" s="316"/>
      <c r="AE76" s="3"/>
      <c r="AF76" s="3"/>
      <c r="AG76" s="3"/>
    </row>
    <row r="77" spans="1:33" ht="12.75" customHeight="1" outlineLevel="1" x14ac:dyDescent="0.2">
      <c r="A77" s="258"/>
      <c r="B77" s="383"/>
      <c r="C77" s="455"/>
      <c r="D77" s="17" t="s">
        <v>346</v>
      </c>
      <c r="E77" s="26" t="str">
        <f>IF(LEFT($B$77,4)="8 - ",Notas!A378,"")</f>
        <v/>
      </c>
      <c r="F77" s="236" t="str">
        <f t="shared" si="4"/>
        <v/>
      </c>
      <c r="G77" s="26" t="str">
        <f t="shared" si="5"/>
        <v/>
      </c>
      <c r="H77" s="156">
        <v>72</v>
      </c>
      <c r="I77" s="418"/>
      <c r="J77" s="416"/>
      <c r="K77" s="419"/>
      <c r="L77" s="267"/>
      <c r="M77" s="260"/>
      <c r="N77" s="627"/>
      <c r="O77" s="65" t="s">
        <v>347</v>
      </c>
      <c r="P77" s="164"/>
      <c r="Q77" s="159">
        <v>72</v>
      </c>
      <c r="R77" s="430" t="s">
        <v>269</v>
      </c>
      <c r="S77" s="431"/>
      <c r="T77" s="432"/>
      <c r="U77" s="207"/>
      <c r="W77" s="261"/>
      <c r="X77" s="261"/>
      <c r="Y77" s="261"/>
      <c r="Z77" s="48"/>
      <c r="AA77" s="318"/>
      <c r="AB77" s="318"/>
      <c r="AC77" s="318"/>
      <c r="AD77" s="316"/>
      <c r="AE77" s="2"/>
      <c r="AF77" s="2"/>
      <c r="AG77" s="2"/>
    </row>
    <row r="78" spans="1:33" ht="12.75" customHeight="1" outlineLevel="1" x14ac:dyDescent="0.2">
      <c r="A78" s="258"/>
      <c r="B78" s="384"/>
      <c r="C78" s="455"/>
      <c r="D78" s="6" t="s">
        <v>348</v>
      </c>
      <c r="E78" s="164" t="str">
        <f>IF(LEFT($B$77,4)="8 - ",Notas!A379,"")</f>
        <v/>
      </c>
      <c r="F78" s="160" t="str">
        <f t="shared" si="4"/>
        <v/>
      </c>
      <c r="G78" s="257" t="str">
        <f t="shared" si="5"/>
        <v/>
      </c>
      <c r="H78" s="157">
        <v>73</v>
      </c>
      <c r="I78" s="418"/>
      <c r="J78" s="416"/>
      <c r="K78" s="419"/>
      <c r="L78" s="267"/>
      <c r="M78" s="260"/>
      <c r="N78" s="627"/>
      <c r="O78" s="63" t="s">
        <v>349</v>
      </c>
      <c r="P78" s="257"/>
      <c r="Q78" s="157">
        <v>73</v>
      </c>
      <c r="R78" s="405" t="s">
        <v>269</v>
      </c>
      <c r="S78" s="406"/>
      <c r="T78" s="394"/>
      <c r="U78" s="207"/>
      <c r="W78" s="261"/>
      <c r="X78" s="261"/>
      <c r="Y78" s="261"/>
      <c r="Z78" s="48"/>
      <c r="AA78" s="318"/>
      <c r="AB78" s="318"/>
      <c r="AC78" s="318"/>
      <c r="AD78" s="316"/>
      <c r="AE78" s="2"/>
      <c r="AF78" s="2"/>
      <c r="AG78" s="2"/>
    </row>
    <row r="79" spans="1:33" ht="12.75" customHeight="1" outlineLevel="1" x14ac:dyDescent="0.2">
      <c r="A79" s="258"/>
      <c r="B79" s="384"/>
      <c r="C79" s="455"/>
      <c r="D79" s="6" t="s">
        <v>350</v>
      </c>
      <c r="E79" s="257" t="str">
        <f>IF(LEFT($B$77,4)="8 - ",Notas!A380,"")</f>
        <v/>
      </c>
      <c r="F79" s="160" t="str">
        <f t="shared" si="4"/>
        <v/>
      </c>
      <c r="G79" s="257" t="str">
        <f t="shared" si="5"/>
        <v/>
      </c>
      <c r="H79" s="157">
        <v>74</v>
      </c>
      <c r="I79" s="415"/>
      <c r="J79" s="416"/>
      <c r="K79" s="417"/>
      <c r="L79" s="267"/>
      <c r="M79" s="260"/>
      <c r="N79" s="627"/>
      <c r="O79" s="63" t="s">
        <v>351</v>
      </c>
      <c r="P79" s="27"/>
      <c r="Q79" s="157">
        <v>74</v>
      </c>
      <c r="R79" s="405" t="s">
        <v>269</v>
      </c>
      <c r="S79" s="406"/>
      <c r="T79" s="394"/>
      <c r="U79" s="207"/>
      <c r="W79" s="261"/>
      <c r="X79" s="261"/>
      <c r="Y79" s="261"/>
      <c r="Z79" s="48"/>
      <c r="AA79" s="318"/>
      <c r="AB79" s="318"/>
      <c r="AC79" s="318"/>
      <c r="AD79" s="316"/>
      <c r="AE79" s="2"/>
      <c r="AF79" s="2"/>
      <c r="AG79" s="2"/>
    </row>
    <row r="80" spans="1:33" s="5" customFormat="1" ht="12.75" customHeight="1" outlineLevel="1" x14ac:dyDescent="0.2">
      <c r="A80" s="44"/>
      <c r="B80" s="384"/>
      <c r="C80" s="455"/>
      <c r="D80" s="6" t="s">
        <v>352</v>
      </c>
      <c r="E80" s="257" t="str">
        <f>IF(LEFT($B$77,4)="8 - ",Notas!A381,"")</f>
        <v/>
      </c>
      <c r="F80" s="160" t="str">
        <f t="shared" si="4"/>
        <v/>
      </c>
      <c r="G80" s="257" t="str">
        <f t="shared" si="5"/>
        <v/>
      </c>
      <c r="H80" s="157">
        <v>75</v>
      </c>
      <c r="I80" s="415"/>
      <c r="J80" s="416"/>
      <c r="K80" s="417"/>
      <c r="L80" s="267"/>
      <c r="M80" s="260"/>
      <c r="N80" s="627"/>
      <c r="O80" s="63" t="s">
        <v>353</v>
      </c>
      <c r="P80" s="257"/>
      <c r="Q80" s="157">
        <v>75</v>
      </c>
      <c r="R80" s="405" t="s">
        <v>269</v>
      </c>
      <c r="S80" s="406"/>
      <c r="T80" s="394"/>
      <c r="U80" s="207"/>
      <c r="V80" s="142"/>
      <c r="W80" s="261"/>
      <c r="X80" s="261"/>
      <c r="Y80" s="261"/>
      <c r="Z80" s="155"/>
      <c r="AA80" s="318"/>
      <c r="AB80" s="318"/>
      <c r="AC80" s="318"/>
      <c r="AD80" s="316"/>
      <c r="AE80" s="3"/>
      <c r="AF80" s="3"/>
      <c r="AG80" s="3"/>
    </row>
    <row r="81" spans="1:33" s="5" customFormat="1" ht="12.75" customHeight="1" outlineLevel="1" x14ac:dyDescent="0.2">
      <c r="A81" s="44"/>
      <c r="B81" s="384"/>
      <c r="C81" s="455"/>
      <c r="D81" s="6" t="s">
        <v>354</v>
      </c>
      <c r="E81" s="257" t="str">
        <f>IF(LEFT($B$77,4)="8 - ",Notas!A382,"")</f>
        <v/>
      </c>
      <c r="F81" s="160" t="str">
        <f t="shared" si="4"/>
        <v/>
      </c>
      <c r="G81" s="257" t="str">
        <f t="shared" si="5"/>
        <v/>
      </c>
      <c r="H81" s="157">
        <v>76</v>
      </c>
      <c r="I81" s="415"/>
      <c r="J81" s="416"/>
      <c r="K81" s="417"/>
      <c r="L81" s="267"/>
      <c r="M81" s="260"/>
      <c r="N81" s="627"/>
      <c r="O81" s="63" t="s">
        <v>355</v>
      </c>
      <c r="P81" s="27"/>
      <c r="Q81" s="157">
        <v>76</v>
      </c>
      <c r="R81" s="405" t="s">
        <v>269</v>
      </c>
      <c r="S81" s="406"/>
      <c r="T81" s="394"/>
      <c r="U81" s="207"/>
      <c r="V81" s="142"/>
      <c r="W81" s="261"/>
      <c r="X81" s="261"/>
      <c r="Y81" s="261"/>
      <c r="Z81" s="48"/>
      <c r="AA81" s="318"/>
      <c r="AB81" s="318"/>
      <c r="AC81" s="318"/>
      <c r="AD81" s="316"/>
      <c r="AE81" s="3"/>
      <c r="AF81" s="3"/>
      <c r="AG81" s="3"/>
    </row>
    <row r="82" spans="1:33" s="5" customFormat="1" ht="12.75" customHeight="1" outlineLevel="1" x14ac:dyDescent="0.2">
      <c r="A82" s="44"/>
      <c r="B82" s="384"/>
      <c r="C82" s="455"/>
      <c r="D82" s="6" t="s">
        <v>356</v>
      </c>
      <c r="E82" s="257" t="str">
        <f>IF(LEFT($B$77,4)="8 - ",Notas!A383,"")</f>
        <v/>
      </c>
      <c r="F82" s="160" t="str">
        <f t="shared" si="4"/>
        <v/>
      </c>
      <c r="G82" s="257" t="str">
        <f t="shared" si="5"/>
        <v/>
      </c>
      <c r="H82" s="157">
        <v>77</v>
      </c>
      <c r="I82" s="415"/>
      <c r="J82" s="416"/>
      <c r="K82" s="417"/>
      <c r="L82" s="267"/>
      <c r="M82" s="260"/>
      <c r="N82" s="627"/>
      <c r="O82" s="63" t="s">
        <v>357</v>
      </c>
      <c r="P82" s="116"/>
      <c r="Q82" s="157">
        <v>77</v>
      </c>
      <c r="R82" s="405" t="s">
        <v>269</v>
      </c>
      <c r="S82" s="406"/>
      <c r="T82" s="394"/>
      <c r="U82" s="207"/>
      <c r="V82" s="142"/>
      <c r="W82" s="261"/>
      <c r="X82" s="261"/>
      <c r="Y82" s="261"/>
      <c r="Z82" s="48"/>
      <c r="AA82" s="318"/>
      <c r="AB82" s="318"/>
      <c r="AC82" s="318"/>
      <c r="AD82" s="316"/>
      <c r="AE82" s="3"/>
      <c r="AF82" s="3"/>
      <c r="AG82" s="3"/>
    </row>
    <row r="83" spans="1:33" s="5" customFormat="1" ht="12.75" customHeight="1" outlineLevel="1" x14ac:dyDescent="0.2">
      <c r="A83" s="44"/>
      <c r="B83" s="384"/>
      <c r="C83" s="455"/>
      <c r="D83" s="6" t="s">
        <v>358</v>
      </c>
      <c r="E83" s="257" t="str">
        <f>IF(LEFT($B$77,4)="8 - ",Notas!A384,"")</f>
        <v/>
      </c>
      <c r="F83" s="160" t="str">
        <f t="shared" si="4"/>
        <v/>
      </c>
      <c r="G83" s="257" t="str">
        <f t="shared" si="5"/>
        <v/>
      </c>
      <c r="H83" s="157">
        <v>78</v>
      </c>
      <c r="I83" s="415"/>
      <c r="J83" s="416"/>
      <c r="K83" s="417"/>
      <c r="L83" s="267"/>
      <c r="M83" s="260"/>
      <c r="N83" s="627"/>
      <c r="O83" s="63" t="s">
        <v>359</v>
      </c>
      <c r="P83" s="116"/>
      <c r="Q83" s="157">
        <v>78</v>
      </c>
      <c r="R83" s="405" t="s">
        <v>269</v>
      </c>
      <c r="S83" s="406"/>
      <c r="T83" s="394"/>
      <c r="U83" s="207"/>
      <c r="V83" s="142"/>
      <c r="W83" s="261"/>
      <c r="X83" s="261"/>
      <c r="Y83" s="261"/>
      <c r="Z83" s="48"/>
      <c r="AA83" s="318"/>
      <c r="AB83" s="318"/>
      <c r="AC83" s="318"/>
      <c r="AD83" s="316"/>
      <c r="AE83" s="3"/>
      <c r="AF83" s="3"/>
      <c r="AG83" s="3"/>
    </row>
    <row r="84" spans="1:33" s="5" customFormat="1" ht="13.5" customHeight="1" outlineLevel="1" thickBot="1" x14ac:dyDescent="0.25">
      <c r="A84" s="44"/>
      <c r="B84" s="385"/>
      <c r="C84" s="456"/>
      <c r="D84" s="8" t="s">
        <v>360</v>
      </c>
      <c r="E84" s="28" t="str">
        <f>IF(LEFT($B$77,4)="8 - ",Notas!A385,"")</f>
        <v/>
      </c>
      <c r="F84" s="237" t="str">
        <f t="shared" si="4"/>
        <v/>
      </c>
      <c r="G84" s="28" t="str">
        <f t="shared" si="5"/>
        <v/>
      </c>
      <c r="H84" s="158">
        <v>79</v>
      </c>
      <c r="I84" s="412"/>
      <c r="J84" s="413"/>
      <c r="K84" s="414"/>
      <c r="L84" s="267"/>
      <c r="M84" s="91"/>
      <c r="N84" s="628"/>
      <c r="O84" s="117" t="s">
        <v>361</v>
      </c>
      <c r="P84" s="28"/>
      <c r="Q84" s="158">
        <v>79</v>
      </c>
      <c r="R84" s="399" t="s">
        <v>269</v>
      </c>
      <c r="S84" s="400"/>
      <c r="T84" s="401"/>
      <c r="U84" s="207"/>
      <c r="V84" s="142"/>
      <c r="W84" s="261"/>
      <c r="X84" s="261"/>
      <c r="Y84" s="261"/>
      <c r="Z84" s="259"/>
      <c r="AA84" s="318"/>
      <c r="AB84" s="318"/>
      <c r="AC84" s="318"/>
      <c r="AD84" s="313"/>
      <c r="AE84" s="3"/>
      <c r="AF84" s="3"/>
      <c r="AG84" s="3"/>
    </row>
    <row r="85" spans="1:33" s="5" customFormat="1" ht="13.5" customHeight="1" outlineLevel="3" x14ac:dyDescent="0.2">
      <c r="A85" s="44"/>
      <c r="B85" s="383"/>
      <c r="C85" s="454"/>
      <c r="D85" s="17" t="s">
        <v>655</v>
      </c>
      <c r="E85" s="26" t="str">
        <f>IF(LEFT($B$85,4)="9 - ",Notas!A386,"")</f>
        <v/>
      </c>
      <c r="F85" s="236" t="str">
        <f t="shared" ref="F85:F100" si="6">IF(L85="","",VLOOKUP(L85,Tabela_Sensores,6,FALSE))</f>
        <v/>
      </c>
      <c r="G85" s="26" t="str">
        <f t="shared" ref="G85:G100" si="7">IF(L85="","",VLOOKUP(L85,Tabela_Sensores,5,FALSE))</f>
        <v/>
      </c>
      <c r="H85" s="167">
        <v>80</v>
      </c>
      <c r="I85" s="422"/>
      <c r="J85" s="423"/>
      <c r="K85" s="424"/>
      <c r="L85" s="261"/>
      <c r="M85" s="260"/>
      <c r="N85" s="618"/>
      <c r="O85" s="17" t="s">
        <v>671</v>
      </c>
      <c r="P85" s="26"/>
      <c r="Q85" s="167">
        <v>80</v>
      </c>
      <c r="R85" s="374" t="s">
        <v>1231</v>
      </c>
      <c r="S85" s="375"/>
      <c r="T85" s="376"/>
      <c r="U85" s="186"/>
      <c r="V85" s="142"/>
      <c r="W85" s="261"/>
      <c r="X85" s="261"/>
      <c r="Y85" s="261"/>
      <c r="Z85" s="259"/>
      <c r="AA85" s="318"/>
      <c r="AB85" s="318"/>
      <c r="AC85" s="318"/>
      <c r="AD85" s="313"/>
    </row>
    <row r="86" spans="1:33" s="5" customFormat="1" ht="13.5" customHeight="1" outlineLevel="3" x14ac:dyDescent="0.2">
      <c r="A86" s="44"/>
      <c r="B86" s="384"/>
      <c r="C86" s="455"/>
      <c r="D86" s="18" t="s">
        <v>656</v>
      </c>
      <c r="E86" s="257" t="str">
        <f>IF(LEFT($B$85,4)="9 - ",Notas!A387,"")</f>
        <v/>
      </c>
      <c r="F86" s="160" t="str">
        <f t="shared" si="6"/>
        <v/>
      </c>
      <c r="G86" s="257" t="str">
        <f t="shared" si="7"/>
        <v/>
      </c>
      <c r="H86" s="40">
        <v>81</v>
      </c>
      <c r="I86" s="392"/>
      <c r="J86" s="393"/>
      <c r="K86" s="395"/>
      <c r="L86" s="261"/>
      <c r="M86" s="260"/>
      <c r="N86" s="618"/>
      <c r="O86" s="6" t="s">
        <v>672</v>
      </c>
      <c r="P86" s="257"/>
      <c r="Q86" s="40">
        <v>81</v>
      </c>
      <c r="R86" s="392"/>
      <c r="S86" s="393"/>
      <c r="T86" s="395"/>
      <c r="U86" s="186"/>
      <c r="V86" s="142"/>
      <c r="W86" s="261"/>
      <c r="X86" s="261"/>
      <c r="Y86" s="261"/>
      <c r="Z86" s="259"/>
      <c r="AA86" s="318"/>
      <c r="AB86" s="318"/>
      <c r="AC86" s="318"/>
      <c r="AD86" s="313"/>
    </row>
    <row r="87" spans="1:33" s="5" customFormat="1" ht="13.5" customHeight="1" outlineLevel="3" x14ac:dyDescent="0.2">
      <c r="A87" s="44"/>
      <c r="B87" s="384"/>
      <c r="C87" s="455"/>
      <c r="D87" s="18" t="s">
        <v>657</v>
      </c>
      <c r="E87" s="257" t="str">
        <f>IF(LEFT($B$85,4)="9 - ",Notas!A388,"")</f>
        <v/>
      </c>
      <c r="F87" s="160" t="str">
        <f t="shared" si="6"/>
        <v/>
      </c>
      <c r="G87" s="257" t="str">
        <f t="shared" si="7"/>
        <v/>
      </c>
      <c r="H87" s="40">
        <v>82</v>
      </c>
      <c r="I87" s="632"/>
      <c r="J87" s="633"/>
      <c r="K87" s="634"/>
      <c r="L87" s="261"/>
      <c r="M87" s="260"/>
      <c r="N87" s="618"/>
      <c r="O87" s="6" t="s">
        <v>673</v>
      </c>
      <c r="P87" s="257"/>
      <c r="Q87" s="40">
        <v>82</v>
      </c>
      <c r="R87" s="392"/>
      <c r="S87" s="393"/>
      <c r="T87" s="395"/>
      <c r="U87" s="186"/>
      <c r="V87" s="142"/>
      <c r="W87" s="261"/>
      <c r="X87" s="261"/>
      <c r="Y87" s="261"/>
      <c r="Z87" s="259"/>
      <c r="AA87" s="318"/>
      <c r="AB87" s="318"/>
      <c r="AC87" s="318"/>
      <c r="AD87" s="313"/>
    </row>
    <row r="88" spans="1:33" s="5" customFormat="1" ht="13.5" customHeight="1" outlineLevel="3" x14ac:dyDescent="0.2">
      <c r="A88" s="44"/>
      <c r="B88" s="384"/>
      <c r="C88" s="455"/>
      <c r="D88" s="18" t="s">
        <v>658</v>
      </c>
      <c r="E88" s="257" t="str">
        <f>IF(LEFT($B$85,4)="9 - ",Notas!A389,"")</f>
        <v/>
      </c>
      <c r="F88" s="160" t="str">
        <f t="shared" si="6"/>
        <v/>
      </c>
      <c r="G88" s="257" t="str">
        <f t="shared" si="7"/>
        <v/>
      </c>
      <c r="H88" s="40">
        <v>83</v>
      </c>
      <c r="I88" s="405"/>
      <c r="J88" s="393"/>
      <c r="K88" s="394"/>
      <c r="L88" s="261"/>
      <c r="M88" s="260"/>
      <c r="N88" s="618"/>
      <c r="O88" s="6" t="s">
        <v>674</v>
      </c>
      <c r="P88" s="257"/>
      <c r="Q88" s="40">
        <v>83</v>
      </c>
      <c r="R88" s="392"/>
      <c r="S88" s="393"/>
      <c r="T88" s="395"/>
      <c r="U88" s="186"/>
      <c r="V88" s="142"/>
      <c r="W88" s="142"/>
      <c r="X88" s="142"/>
      <c r="Y88" s="142"/>
      <c r="Z88" s="259"/>
      <c r="AA88" s="318"/>
      <c r="AB88" s="318"/>
      <c r="AC88" s="318"/>
      <c r="AD88" s="48"/>
    </row>
    <row r="89" spans="1:33" s="5" customFormat="1" ht="13.5" customHeight="1" outlineLevel="3" x14ac:dyDescent="0.2">
      <c r="A89" s="44"/>
      <c r="B89" s="384"/>
      <c r="C89" s="455"/>
      <c r="D89" s="18" t="s">
        <v>659</v>
      </c>
      <c r="E89" s="257" t="str">
        <f>IF(LEFT($B$85,4)="9 - ",Notas!A390,"")</f>
        <v/>
      </c>
      <c r="F89" s="160" t="str">
        <f t="shared" si="6"/>
        <v/>
      </c>
      <c r="G89" s="257" t="str">
        <f t="shared" si="7"/>
        <v/>
      </c>
      <c r="H89" s="40">
        <v>84</v>
      </c>
      <c r="I89" s="392"/>
      <c r="J89" s="393"/>
      <c r="K89" s="395"/>
      <c r="L89" s="261"/>
      <c r="M89" s="260"/>
      <c r="N89" s="618"/>
      <c r="O89" s="6" t="s">
        <v>675</v>
      </c>
      <c r="P89" s="257"/>
      <c r="Q89" s="40">
        <v>84</v>
      </c>
      <c r="R89" s="392"/>
      <c r="S89" s="393"/>
      <c r="T89" s="395"/>
      <c r="U89" s="186"/>
      <c r="V89" s="142"/>
      <c r="W89" s="142"/>
      <c r="X89" s="142"/>
      <c r="Y89" s="142"/>
      <c r="Z89" s="259"/>
      <c r="AA89" s="318"/>
      <c r="AB89" s="318"/>
      <c r="AC89" s="318"/>
      <c r="AD89" s="48"/>
    </row>
    <row r="90" spans="1:33" s="5" customFormat="1" ht="13.5" customHeight="1" outlineLevel="3" x14ac:dyDescent="0.2">
      <c r="A90" s="44"/>
      <c r="B90" s="384"/>
      <c r="C90" s="455"/>
      <c r="D90" s="18" t="s">
        <v>660</v>
      </c>
      <c r="E90" s="257" t="str">
        <f>IF(LEFT($B$85,4)="9 - ",Notas!A391,"")</f>
        <v/>
      </c>
      <c r="F90" s="160" t="str">
        <f t="shared" si="6"/>
        <v/>
      </c>
      <c r="G90" s="257" t="str">
        <f t="shared" si="7"/>
        <v/>
      </c>
      <c r="H90" s="40">
        <v>85</v>
      </c>
      <c r="I90" s="629"/>
      <c r="J90" s="630"/>
      <c r="K90" s="631"/>
      <c r="L90" s="261"/>
      <c r="M90" s="260"/>
      <c r="N90" s="618"/>
      <c r="O90" s="6" t="s">
        <v>676</v>
      </c>
      <c r="P90" s="257"/>
      <c r="Q90" s="40">
        <v>85</v>
      </c>
      <c r="R90" s="392"/>
      <c r="S90" s="393"/>
      <c r="T90" s="395"/>
      <c r="U90" s="186"/>
      <c r="V90" s="142"/>
      <c r="W90" s="140"/>
      <c r="X90" s="261"/>
      <c r="Y90" s="261"/>
      <c r="Z90" s="259"/>
      <c r="AA90" s="318"/>
      <c r="AB90" s="318"/>
      <c r="AC90" s="318"/>
      <c r="AD90" s="48"/>
    </row>
    <row r="91" spans="1:33" s="5" customFormat="1" ht="13.5" customHeight="1" outlineLevel="3" x14ac:dyDescent="0.2">
      <c r="A91" s="44"/>
      <c r="B91" s="384"/>
      <c r="C91" s="455"/>
      <c r="D91" s="18" t="s">
        <v>661</v>
      </c>
      <c r="E91" s="257" t="str">
        <f>IF(LEFT($B$85,4)="9 - ",Notas!A392,"")</f>
        <v/>
      </c>
      <c r="F91" s="160" t="str">
        <f t="shared" si="6"/>
        <v/>
      </c>
      <c r="G91" s="257" t="str">
        <f t="shared" si="7"/>
        <v/>
      </c>
      <c r="H91" s="40">
        <v>86</v>
      </c>
      <c r="I91" s="392"/>
      <c r="J91" s="393"/>
      <c r="K91" s="395"/>
      <c r="L91" s="261"/>
      <c r="M91" s="260"/>
      <c r="N91" s="618"/>
      <c r="O91" s="6" t="s">
        <v>677</v>
      </c>
      <c r="P91" s="257"/>
      <c r="Q91" s="40">
        <v>86</v>
      </c>
      <c r="R91" s="392"/>
      <c r="S91" s="393"/>
      <c r="T91" s="395"/>
      <c r="U91" s="186"/>
      <c r="V91" s="142"/>
      <c r="W91" s="140"/>
      <c r="X91" s="261"/>
      <c r="Y91" s="261"/>
      <c r="Z91" s="259"/>
      <c r="AA91" s="318"/>
      <c r="AB91" s="318"/>
      <c r="AC91" s="318"/>
      <c r="AD91" s="48"/>
    </row>
    <row r="92" spans="1:33" s="5" customFormat="1" ht="13.5" customHeight="1" outlineLevel="3" thickBot="1" x14ac:dyDescent="0.25">
      <c r="A92" s="44"/>
      <c r="B92" s="385"/>
      <c r="C92" s="455"/>
      <c r="D92" s="62" t="s">
        <v>662</v>
      </c>
      <c r="E92" s="28" t="str">
        <f>IF(LEFT($B$85,4)="9 - ",Notas!A393,"")</f>
        <v/>
      </c>
      <c r="F92" s="237" t="str">
        <f t="shared" si="6"/>
        <v/>
      </c>
      <c r="G92" s="28" t="str">
        <f t="shared" si="7"/>
        <v/>
      </c>
      <c r="H92" s="43">
        <v>87</v>
      </c>
      <c r="I92" s="439"/>
      <c r="J92" s="440"/>
      <c r="K92" s="441"/>
      <c r="L92" s="261"/>
      <c r="M92" s="260"/>
      <c r="N92" s="618"/>
      <c r="O92" s="8" t="s">
        <v>678</v>
      </c>
      <c r="P92" s="28"/>
      <c r="Q92" s="43">
        <v>87</v>
      </c>
      <c r="R92" s="439"/>
      <c r="S92" s="440"/>
      <c r="T92" s="441"/>
      <c r="U92" s="186"/>
      <c r="V92" s="142"/>
      <c r="W92" s="140"/>
      <c r="X92" s="261"/>
      <c r="Y92" s="261"/>
      <c r="Z92" s="259"/>
      <c r="AA92" s="373"/>
      <c r="AB92" s="373"/>
      <c r="AC92" s="373"/>
      <c r="AD92" s="48"/>
    </row>
    <row r="93" spans="1:33" ht="12.75" customHeight="1" outlineLevel="3" x14ac:dyDescent="0.2">
      <c r="A93" s="258"/>
      <c r="B93" s="383"/>
      <c r="C93" s="455"/>
      <c r="D93" s="17" t="s">
        <v>663</v>
      </c>
      <c r="E93" s="26" t="str">
        <f>IF(LEFT($B$93,5)="10 - ",Notas!A394,"")</f>
        <v/>
      </c>
      <c r="F93" s="236" t="str">
        <f t="shared" si="6"/>
        <v/>
      </c>
      <c r="G93" s="26" t="str">
        <f t="shared" si="7"/>
        <v/>
      </c>
      <c r="H93" s="11">
        <v>88</v>
      </c>
      <c r="I93" s="422"/>
      <c r="J93" s="423"/>
      <c r="K93" s="424"/>
      <c r="L93" s="261"/>
      <c r="M93" s="260"/>
      <c r="N93" s="619"/>
      <c r="O93" s="65" t="s">
        <v>679</v>
      </c>
      <c r="P93" s="164"/>
      <c r="Q93" s="11">
        <v>88</v>
      </c>
      <c r="R93" s="621"/>
      <c r="S93" s="622"/>
      <c r="T93" s="623"/>
      <c r="U93" s="186"/>
      <c r="Z93" s="259"/>
      <c r="AA93" s="318"/>
      <c r="AB93" s="320"/>
      <c r="AC93" s="317"/>
      <c r="AD93" s="184"/>
    </row>
    <row r="94" spans="1:33" ht="12.75" customHeight="1" outlineLevel="3" x14ac:dyDescent="0.2">
      <c r="A94" s="258"/>
      <c r="B94" s="384"/>
      <c r="C94" s="455"/>
      <c r="D94" s="18" t="s">
        <v>664</v>
      </c>
      <c r="E94" s="257" t="str">
        <f>IF(LEFT($B$93,5)="10 - ",Notas!A395,"")</f>
        <v/>
      </c>
      <c r="F94" s="160" t="str">
        <f t="shared" si="6"/>
        <v/>
      </c>
      <c r="G94" s="257" t="str">
        <f t="shared" si="7"/>
        <v/>
      </c>
      <c r="H94" s="40">
        <v>89</v>
      </c>
      <c r="I94" s="392"/>
      <c r="J94" s="393"/>
      <c r="K94" s="395"/>
      <c r="L94" s="261"/>
      <c r="M94" s="260"/>
      <c r="N94" s="619"/>
      <c r="O94" s="63" t="s">
        <v>680</v>
      </c>
      <c r="P94" s="257"/>
      <c r="Q94" s="40">
        <v>89</v>
      </c>
      <c r="R94" s="392"/>
      <c r="S94" s="393"/>
      <c r="T94" s="395"/>
      <c r="U94" s="186"/>
      <c r="Z94" s="259"/>
      <c r="AA94" s="318"/>
      <c r="AB94" s="320"/>
      <c r="AC94" s="317"/>
      <c r="AD94" s="36"/>
    </row>
    <row r="95" spans="1:33" ht="12.75" customHeight="1" outlineLevel="3" x14ac:dyDescent="0.2">
      <c r="A95" s="258"/>
      <c r="B95" s="384"/>
      <c r="C95" s="455"/>
      <c r="D95" s="18" t="s">
        <v>665</v>
      </c>
      <c r="E95" s="257" t="str">
        <f>IF(LEFT($B$93,5)="10 - ",Notas!A396,"")</f>
        <v/>
      </c>
      <c r="F95" s="160" t="str">
        <f t="shared" si="6"/>
        <v/>
      </c>
      <c r="G95" s="257" t="str">
        <f t="shared" si="7"/>
        <v/>
      </c>
      <c r="H95" s="40">
        <v>90</v>
      </c>
      <c r="I95" s="392"/>
      <c r="J95" s="393"/>
      <c r="K95" s="394"/>
      <c r="L95" s="261"/>
      <c r="M95" s="260"/>
      <c r="N95" s="619"/>
      <c r="O95" s="63" t="s">
        <v>681</v>
      </c>
      <c r="P95" s="27"/>
      <c r="Q95" s="40">
        <v>90</v>
      </c>
      <c r="R95" s="392"/>
      <c r="S95" s="393"/>
      <c r="T95" s="395"/>
      <c r="U95" s="186"/>
      <c r="Z95" s="259"/>
      <c r="AA95" s="373"/>
      <c r="AB95" s="373"/>
      <c r="AC95" s="373"/>
      <c r="AD95" s="36"/>
    </row>
    <row r="96" spans="1:33" s="5" customFormat="1" ht="12.75" customHeight="1" outlineLevel="3" x14ac:dyDescent="0.2">
      <c r="A96" s="44"/>
      <c r="B96" s="384"/>
      <c r="C96" s="455"/>
      <c r="D96" s="18" t="s">
        <v>666</v>
      </c>
      <c r="E96" s="257" t="str">
        <f>IF(LEFT($B$93,5)="10 - ",Notas!A397,"")</f>
        <v/>
      </c>
      <c r="F96" s="160" t="str">
        <f t="shared" si="6"/>
        <v/>
      </c>
      <c r="G96" s="257" t="str">
        <f t="shared" si="7"/>
        <v/>
      </c>
      <c r="H96" s="40">
        <v>91</v>
      </c>
      <c r="I96" s="392"/>
      <c r="J96" s="393"/>
      <c r="K96" s="394"/>
      <c r="L96" s="261"/>
      <c r="M96" s="260"/>
      <c r="N96" s="619"/>
      <c r="O96" s="63" t="s">
        <v>682</v>
      </c>
      <c r="P96" s="257"/>
      <c r="Q96" s="40">
        <v>91</v>
      </c>
      <c r="R96" s="392"/>
      <c r="S96" s="393"/>
      <c r="T96" s="395"/>
      <c r="U96" s="186"/>
      <c r="V96" s="142"/>
      <c r="W96" s="140"/>
      <c r="X96" s="261"/>
      <c r="Y96" s="261"/>
      <c r="Z96" s="259"/>
      <c r="AA96" s="318"/>
      <c r="AB96" s="320"/>
      <c r="AC96" s="317"/>
      <c r="AD96" s="48"/>
    </row>
    <row r="97" spans="1:33" s="5" customFormat="1" ht="12.75" customHeight="1" outlineLevel="3" x14ac:dyDescent="0.2">
      <c r="A97" s="44"/>
      <c r="B97" s="384"/>
      <c r="C97" s="455"/>
      <c r="D97" s="18" t="s">
        <v>667</v>
      </c>
      <c r="E97" s="257" t="str">
        <f>IF(LEFT($B$93,5)="10 - ",Notas!A398,"")</f>
        <v/>
      </c>
      <c r="F97" s="160" t="str">
        <f t="shared" si="6"/>
        <v/>
      </c>
      <c r="G97" s="257" t="str">
        <f t="shared" si="7"/>
        <v/>
      </c>
      <c r="H97" s="40">
        <v>92</v>
      </c>
      <c r="I97" s="392"/>
      <c r="J97" s="393"/>
      <c r="K97" s="394"/>
      <c r="L97" s="261"/>
      <c r="M97" s="260"/>
      <c r="N97" s="619"/>
      <c r="O97" s="63" t="s">
        <v>683</v>
      </c>
      <c r="P97" s="27"/>
      <c r="Q97" s="40">
        <v>92</v>
      </c>
      <c r="R97" s="392"/>
      <c r="S97" s="393"/>
      <c r="T97" s="395"/>
      <c r="U97" s="186"/>
      <c r="V97" s="142"/>
      <c r="W97" s="141"/>
      <c r="X97" s="141"/>
      <c r="Y97" s="141"/>
      <c r="Z97" s="36"/>
      <c r="AA97" s="318"/>
      <c r="AB97" s="318"/>
      <c r="AC97" s="318"/>
      <c r="AD97" s="48"/>
    </row>
    <row r="98" spans="1:33" s="5" customFormat="1" ht="12.75" customHeight="1" outlineLevel="3" x14ac:dyDescent="0.2">
      <c r="A98" s="44"/>
      <c r="B98" s="384"/>
      <c r="C98" s="455"/>
      <c r="D98" s="18" t="s">
        <v>668</v>
      </c>
      <c r="E98" s="257" t="str">
        <f>IF(LEFT($B$93,5)="10 - ",Notas!A399,"")</f>
        <v/>
      </c>
      <c r="F98" s="160" t="str">
        <f t="shared" si="6"/>
        <v/>
      </c>
      <c r="G98" s="257" t="str">
        <f t="shared" si="7"/>
        <v/>
      </c>
      <c r="H98" s="40">
        <v>93</v>
      </c>
      <c r="I98" s="392"/>
      <c r="J98" s="393"/>
      <c r="K98" s="394"/>
      <c r="L98" s="261"/>
      <c r="M98" s="260"/>
      <c r="N98" s="619"/>
      <c r="O98" s="63" t="s">
        <v>684</v>
      </c>
      <c r="P98" s="116"/>
      <c r="Q98" s="40">
        <v>93</v>
      </c>
      <c r="R98" s="392"/>
      <c r="S98" s="393"/>
      <c r="T98" s="395"/>
      <c r="U98" s="186"/>
      <c r="V98" s="142"/>
      <c r="W98" s="141"/>
      <c r="X98" s="141"/>
      <c r="Y98" s="141"/>
      <c r="Z98" s="48"/>
      <c r="AA98" s="318"/>
      <c r="AB98" s="318"/>
      <c r="AC98" s="318"/>
      <c r="AD98" s="48"/>
    </row>
    <row r="99" spans="1:33" s="5" customFormat="1" ht="12.75" customHeight="1" outlineLevel="3" x14ac:dyDescent="0.2">
      <c r="A99" s="44"/>
      <c r="B99" s="384"/>
      <c r="C99" s="455"/>
      <c r="D99" s="18" t="s">
        <v>669</v>
      </c>
      <c r="E99" s="257" t="str">
        <f>IF(LEFT($B$93,5)="10 - ",Notas!A400,"")</f>
        <v/>
      </c>
      <c r="F99" s="160" t="str">
        <f t="shared" si="6"/>
        <v/>
      </c>
      <c r="G99" s="257" t="str">
        <f t="shared" si="7"/>
        <v/>
      </c>
      <c r="H99" s="40">
        <v>94</v>
      </c>
      <c r="I99" s="392"/>
      <c r="J99" s="393"/>
      <c r="K99" s="394"/>
      <c r="L99" s="261"/>
      <c r="M99" s="260"/>
      <c r="N99" s="619"/>
      <c r="O99" s="63" t="s">
        <v>685</v>
      </c>
      <c r="P99" s="116"/>
      <c r="Q99" s="40">
        <v>94</v>
      </c>
      <c r="R99" s="392"/>
      <c r="S99" s="393"/>
      <c r="T99" s="395"/>
      <c r="U99" s="186"/>
      <c r="V99" s="142"/>
      <c r="W99" s="141"/>
      <c r="X99" s="141"/>
      <c r="Y99" s="141"/>
      <c r="Z99" s="48"/>
      <c r="AA99" s="315"/>
      <c r="AB99" s="48"/>
      <c r="AC99" s="48"/>
      <c r="AD99" s="48"/>
    </row>
    <row r="100" spans="1:33" s="5" customFormat="1" ht="13.5" customHeight="1" outlineLevel="3" thickBot="1" x14ac:dyDescent="0.25">
      <c r="A100" s="44"/>
      <c r="B100" s="385"/>
      <c r="C100" s="456"/>
      <c r="D100" s="62" t="s">
        <v>670</v>
      </c>
      <c r="E100" s="28" t="str">
        <f>IF(LEFT($B$93,5)="10 - ",Notas!A401,"")</f>
        <v/>
      </c>
      <c r="F100" s="237" t="str">
        <f t="shared" si="6"/>
        <v/>
      </c>
      <c r="G100" s="28" t="str">
        <f t="shared" si="7"/>
        <v/>
      </c>
      <c r="H100" s="43">
        <v>95</v>
      </c>
      <c r="I100" s="439"/>
      <c r="J100" s="440"/>
      <c r="K100" s="401"/>
      <c r="L100" s="261"/>
      <c r="M100" s="91"/>
      <c r="N100" s="620"/>
      <c r="O100" s="117" t="s">
        <v>686</v>
      </c>
      <c r="P100" s="28"/>
      <c r="Q100" s="43">
        <v>95</v>
      </c>
      <c r="R100" s="439"/>
      <c r="S100" s="440"/>
      <c r="T100" s="441"/>
      <c r="U100" s="186"/>
      <c r="V100" s="142"/>
      <c r="W100" s="140"/>
      <c r="X100" s="261"/>
      <c r="Y100" s="261"/>
      <c r="Z100" s="34"/>
      <c r="AA100" s="315"/>
      <c r="AB100" s="48"/>
      <c r="AC100" s="48"/>
      <c r="AD100" s="48"/>
    </row>
    <row r="101" spans="1:33" s="5" customFormat="1" ht="13.5" customHeight="1" outlineLevel="1" thickBot="1" x14ac:dyDescent="0.25">
      <c r="A101" s="44"/>
      <c r="B101" s="370"/>
      <c r="C101" s="372"/>
      <c r="D101" s="8"/>
      <c r="E101" s="28"/>
      <c r="F101" s="237"/>
      <c r="G101" s="28"/>
      <c r="H101" s="158"/>
      <c r="I101" s="412"/>
      <c r="J101" s="413"/>
      <c r="K101" s="414"/>
      <c r="L101" s="267"/>
      <c r="M101" s="91"/>
      <c r="N101" s="372"/>
      <c r="O101" s="117"/>
      <c r="P101" s="28"/>
      <c r="Q101" s="158"/>
      <c r="R101" s="374"/>
      <c r="S101" s="375"/>
      <c r="T101" s="376"/>
      <c r="U101" s="207"/>
      <c r="V101" s="142"/>
      <c r="W101" s="261"/>
      <c r="X101" s="261"/>
      <c r="Y101" s="261"/>
      <c r="Z101" s="259"/>
      <c r="AA101" s="318"/>
      <c r="AB101" s="318"/>
      <c r="AC101" s="318"/>
      <c r="AD101" s="371"/>
      <c r="AE101" s="3"/>
      <c r="AF101" s="3"/>
      <c r="AG101" s="3"/>
    </row>
    <row r="102" spans="1:33" s="5" customFormat="1" x14ac:dyDescent="0.2">
      <c r="A102" s="44"/>
      <c r="B102" s="52"/>
      <c r="C102" s="625" t="s">
        <v>56</v>
      </c>
      <c r="D102" s="625"/>
      <c r="E102" s="625"/>
      <c r="F102" s="625"/>
      <c r="G102" s="625"/>
      <c r="H102" s="53"/>
      <c r="I102" s="501" t="s">
        <v>57</v>
      </c>
      <c r="J102" s="501"/>
      <c r="K102" s="501"/>
      <c r="L102" s="173"/>
      <c r="M102" s="204"/>
      <c r="N102" s="624" t="s">
        <v>638</v>
      </c>
      <c r="O102" s="624"/>
      <c r="P102" s="624"/>
      <c r="Q102" s="624"/>
      <c r="R102" s="293"/>
      <c r="S102" s="293"/>
      <c r="T102" s="293"/>
      <c r="U102" s="185"/>
      <c r="V102" s="140"/>
      <c r="W102" s="140"/>
      <c r="X102" s="261"/>
      <c r="Y102" s="261"/>
      <c r="Z102" s="48"/>
      <c r="AA102" s="315"/>
      <c r="AB102" s="48"/>
      <c r="AC102" s="48"/>
      <c r="AD102" s="48"/>
    </row>
    <row r="103" spans="1:33" x14ac:dyDescent="0.2">
      <c r="A103" s="258"/>
      <c r="B103" s="258"/>
      <c r="C103" s="258"/>
      <c r="D103" s="602" t="s">
        <v>17</v>
      </c>
      <c r="E103" s="593"/>
      <c r="F103" s="593"/>
      <c r="G103" s="593"/>
      <c r="H103" s="594"/>
      <c r="I103" s="74">
        <f>IF(I105 &gt; 0,(I104/I105),0)</f>
        <v>7.6923076923076927E-2</v>
      </c>
      <c r="J103" s="60"/>
      <c r="K103" s="60"/>
      <c r="L103" s="139"/>
      <c r="M103" s="35"/>
      <c r="N103" s="69"/>
      <c r="O103" s="593" t="s">
        <v>16</v>
      </c>
      <c r="P103" s="593"/>
      <c r="Q103" s="594"/>
      <c r="R103" s="75">
        <f>IF(R105 &gt; 0,(R104/R105),0)</f>
        <v>0.53086419753086422</v>
      </c>
      <c r="T103" s="61"/>
      <c r="U103" s="61"/>
      <c r="Z103" s="36"/>
      <c r="AA103" s="186"/>
      <c r="AB103" s="36"/>
      <c r="AC103" s="36"/>
      <c r="AD103" s="36"/>
    </row>
    <row r="104" spans="1:33" x14ac:dyDescent="0.2">
      <c r="A104" s="258"/>
      <c r="B104" s="258"/>
      <c r="C104" s="258"/>
      <c r="D104" s="595" t="s">
        <v>2</v>
      </c>
      <c r="E104" s="595"/>
      <c r="F104" s="595"/>
      <c r="G104" s="595"/>
      <c r="H104" s="595"/>
      <c r="I104" s="54">
        <f>COUNTIF(I5:I100,"Reserve")</f>
        <v>5</v>
      </c>
      <c r="J104" s="55"/>
      <c r="K104" s="4"/>
      <c r="L104" s="139"/>
      <c r="M104" s="35"/>
      <c r="N104" s="35"/>
      <c r="O104" s="587" t="s">
        <v>2</v>
      </c>
      <c r="P104" s="587"/>
      <c r="Q104" s="587"/>
      <c r="R104" s="54">
        <f>COUNTIF(R5:R100,"Reserve")</f>
        <v>43</v>
      </c>
      <c r="S104" s="55"/>
      <c r="T104" s="4"/>
      <c r="U104" s="4"/>
      <c r="Z104" s="36"/>
      <c r="AA104" s="425"/>
      <c r="AB104" s="421"/>
      <c r="AC104" s="421"/>
      <c r="AD104" s="36"/>
    </row>
    <row r="105" spans="1:33" ht="13.5" thickBot="1" x14ac:dyDescent="0.25">
      <c r="A105" s="258"/>
      <c r="B105" s="258"/>
      <c r="C105" s="258"/>
      <c r="D105" s="587" t="s">
        <v>3</v>
      </c>
      <c r="E105" s="587"/>
      <c r="F105" s="587"/>
      <c r="G105" s="587"/>
      <c r="H105" s="587"/>
      <c r="I105" s="54">
        <f>COUNTA(I5:I100)</f>
        <v>65</v>
      </c>
      <c r="J105" s="4"/>
      <c r="K105" s="4"/>
      <c r="L105" s="139"/>
      <c r="M105" s="35"/>
      <c r="N105" s="35"/>
      <c r="O105" s="587" t="s">
        <v>3</v>
      </c>
      <c r="P105" s="587"/>
      <c r="Q105" s="587"/>
      <c r="R105" s="54">
        <f>COUNTA(R5:R100)</f>
        <v>81</v>
      </c>
      <c r="S105" s="4"/>
      <c r="T105" s="4"/>
      <c r="U105" s="4"/>
      <c r="Z105" s="36"/>
      <c r="AA105" s="36"/>
      <c r="AB105" s="36"/>
      <c r="AC105" s="36"/>
      <c r="AD105" s="36"/>
    </row>
    <row r="106" spans="1:33" s="1" customFormat="1" ht="18.75" customHeight="1" thickBot="1" x14ac:dyDescent="0.25">
      <c r="A106" s="37"/>
      <c r="B106" s="410" t="s">
        <v>28</v>
      </c>
      <c r="C106" s="448" t="s">
        <v>6</v>
      </c>
      <c r="D106" s="475" t="s">
        <v>717</v>
      </c>
      <c r="E106" s="472" t="s">
        <v>8</v>
      </c>
      <c r="F106" s="473"/>
      <c r="G106" s="474"/>
      <c r="H106" s="596" t="s">
        <v>256</v>
      </c>
      <c r="I106" s="598" t="s">
        <v>0</v>
      </c>
      <c r="J106" s="599"/>
      <c r="K106" s="481"/>
      <c r="L106" s="138"/>
      <c r="M106" s="410"/>
      <c r="N106" s="448" t="s">
        <v>6</v>
      </c>
      <c r="O106" s="487" t="s">
        <v>718</v>
      </c>
      <c r="P106" s="485"/>
      <c r="Q106" s="596" t="s">
        <v>257</v>
      </c>
      <c r="R106" s="598" t="s">
        <v>0</v>
      </c>
      <c r="S106" s="599"/>
      <c r="T106" s="481"/>
      <c r="U106" s="205"/>
      <c r="V106" s="138"/>
      <c r="W106" s="138"/>
      <c r="X106" s="138"/>
      <c r="Y106" s="138"/>
      <c r="Z106" s="38"/>
      <c r="AA106" s="425" t="s">
        <v>959</v>
      </c>
      <c r="AB106" s="421"/>
      <c r="AC106" s="421"/>
      <c r="AD106" s="38"/>
    </row>
    <row r="107" spans="1:33" s="1" customFormat="1" ht="29.25" customHeight="1" thickBot="1" x14ac:dyDescent="0.25">
      <c r="A107" s="37"/>
      <c r="B107" s="411"/>
      <c r="C107" s="449"/>
      <c r="D107" s="476"/>
      <c r="E107" s="71" t="s">
        <v>10</v>
      </c>
      <c r="F107" s="72" t="s">
        <v>60</v>
      </c>
      <c r="G107" s="73" t="s">
        <v>11</v>
      </c>
      <c r="H107" s="597"/>
      <c r="I107" s="600"/>
      <c r="J107" s="601"/>
      <c r="K107" s="484"/>
      <c r="L107" s="138"/>
      <c r="M107" s="411"/>
      <c r="N107" s="449"/>
      <c r="O107" s="488"/>
      <c r="P107" s="486"/>
      <c r="Q107" s="597"/>
      <c r="R107" s="600"/>
      <c r="S107" s="601"/>
      <c r="T107" s="484"/>
      <c r="U107" s="205"/>
      <c r="V107" s="138"/>
      <c r="W107" s="138"/>
      <c r="X107" s="138"/>
      <c r="Y107" s="138"/>
      <c r="Z107" s="603" t="s">
        <v>301</v>
      </c>
      <c r="AA107" s="604"/>
      <c r="AB107" s="136" t="s">
        <v>300</v>
      </c>
      <c r="AC107" s="137" t="s">
        <v>297</v>
      </c>
      <c r="AD107" s="223"/>
    </row>
    <row r="108" spans="1:33" s="5" customFormat="1" ht="12.75" customHeight="1" x14ac:dyDescent="0.2">
      <c r="A108" s="44"/>
      <c r="B108" s="575"/>
      <c r="C108" s="380" t="s">
        <v>981</v>
      </c>
      <c r="D108" s="15" t="s">
        <v>19</v>
      </c>
      <c r="E108" s="79"/>
      <c r="F108" s="79"/>
      <c r="G108" s="79"/>
      <c r="H108" s="288">
        <v>0</v>
      </c>
      <c r="I108" s="389" t="s">
        <v>1051</v>
      </c>
      <c r="J108" s="390"/>
      <c r="K108" s="391"/>
      <c r="L108" s="261"/>
      <c r="M108" s="588"/>
      <c r="N108" s="396" t="s">
        <v>981</v>
      </c>
      <c r="O108" s="66" t="s">
        <v>24</v>
      </c>
      <c r="P108" s="88"/>
      <c r="Q108" s="56">
        <v>0</v>
      </c>
      <c r="R108" s="374" t="s">
        <v>1232</v>
      </c>
      <c r="S108" s="375"/>
      <c r="T108" s="376"/>
      <c r="U108" s="98"/>
      <c r="V108" s="141"/>
      <c r="W108" s="141"/>
      <c r="X108" s="141"/>
      <c r="Y108" s="141"/>
      <c r="Z108" s="146"/>
      <c r="AA108" s="147" t="s">
        <v>302</v>
      </c>
      <c r="AB108" s="148" t="s">
        <v>308</v>
      </c>
      <c r="AC108" s="149">
        <f>COUNTIF((C5:N148),"KL1408")</f>
        <v>0</v>
      </c>
      <c r="AD108" s="155"/>
    </row>
    <row r="109" spans="1:33" s="5" customFormat="1" ht="12.75" customHeight="1" x14ac:dyDescent="0.2">
      <c r="A109" s="44"/>
      <c r="B109" s="576"/>
      <c r="C109" s="381"/>
      <c r="D109" s="278" t="s">
        <v>20</v>
      </c>
      <c r="E109" s="279"/>
      <c r="F109" s="279"/>
      <c r="G109" s="279"/>
      <c r="H109" s="289">
        <v>1</v>
      </c>
      <c r="I109" s="389" t="s">
        <v>1052</v>
      </c>
      <c r="J109" s="390"/>
      <c r="K109" s="391"/>
      <c r="L109" s="261"/>
      <c r="M109" s="567"/>
      <c r="N109" s="397"/>
      <c r="O109" s="67" t="s">
        <v>25</v>
      </c>
      <c r="P109" s="89"/>
      <c r="Q109" s="120">
        <v>1</v>
      </c>
      <c r="R109" s="389" t="s">
        <v>1051</v>
      </c>
      <c r="S109" s="390"/>
      <c r="T109" s="391"/>
      <c r="U109" s="98"/>
      <c r="V109" s="141"/>
      <c r="W109" s="141"/>
      <c r="X109" s="141"/>
      <c r="Y109" s="141"/>
      <c r="Z109" s="126"/>
      <c r="AA109" s="150" t="s">
        <v>303</v>
      </c>
      <c r="AB109" s="130" t="s">
        <v>309</v>
      </c>
      <c r="AC109" s="262">
        <f>COUNTIF((C5:N148),"KL2408")</f>
        <v>0</v>
      </c>
      <c r="AD109" s="155"/>
    </row>
    <row r="110" spans="1:33" s="5" customFormat="1" ht="12.75" customHeight="1" x14ac:dyDescent="0.2">
      <c r="A110" s="44"/>
      <c r="B110" s="576"/>
      <c r="C110" s="381"/>
      <c r="D110" s="278" t="s">
        <v>21</v>
      </c>
      <c r="E110" s="281"/>
      <c r="F110" s="281"/>
      <c r="G110" s="281"/>
      <c r="H110" s="289">
        <v>2</v>
      </c>
      <c r="I110" s="389" t="s">
        <v>1053</v>
      </c>
      <c r="J110" s="390"/>
      <c r="K110" s="391"/>
      <c r="L110" s="261"/>
      <c r="M110" s="567"/>
      <c r="N110" s="397"/>
      <c r="O110" s="67" t="s">
        <v>26</v>
      </c>
      <c r="P110" s="89"/>
      <c r="Q110" s="119">
        <v>2</v>
      </c>
      <c r="R110" s="390" t="s">
        <v>1232</v>
      </c>
      <c r="S110" s="390"/>
      <c r="T110" s="391"/>
      <c r="U110" s="98"/>
      <c r="V110" s="141"/>
      <c r="W110" s="141"/>
      <c r="X110" s="141"/>
      <c r="Y110" s="141"/>
      <c r="Z110" s="127"/>
      <c r="AA110" s="152" t="s">
        <v>326</v>
      </c>
      <c r="AB110" s="129" t="s">
        <v>193</v>
      </c>
      <c r="AC110" s="262">
        <f>COUNTIF((C5:N148),"KL1809")</f>
        <v>0</v>
      </c>
      <c r="AD110" s="155"/>
    </row>
    <row r="111" spans="1:33" s="5" customFormat="1" ht="12.75" customHeight="1" thickBot="1" x14ac:dyDescent="0.25">
      <c r="A111" s="44"/>
      <c r="B111" s="576"/>
      <c r="C111" s="381"/>
      <c r="D111" s="278" t="s">
        <v>22</v>
      </c>
      <c r="E111" s="281"/>
      <c r="F111" s="281"/>
      <c r="G111" s="281"/>
      <c r="H111" s="289">
        <v>3</v>
      </c>
      <c r="I111" s="389" t="s">
        <v>1054</v>
      </c>
      <c r="J111" s="390"/>
      <c r="K111" s="391"/>
      <c r="L111" s="261"/>
      <c r="M111" s="589"/>
      <c r="N111" s="398"/>
      <c r="O111" s="68" t="s">
        <v>27</v>
      </c>
      <c r="P111" s="87"/>
      <c r="Q111" s="58">
        <v>3</v>
      </c>
      <c r="R111" s="614" t="s">
        <v>1232</v>
      </c>
      <c r="S111" s="530"/>
      <c r="T111" s="531"/>
      <c r="U111" s="98"/>
      <c r="V111" s="141"/>
      <c r="W111" s="141"/>
      <c r="X111" s="141"/>
      <c r="Y111" s="141"/>
      <c r="Z111" s="127"/>
      <c r="AA111" s="150" t="s">
        <v>327</v>
      </c>
      <c r="AB111" s="130" t="s">
        <v>192</v>
      </c>
      <c r="AC111" s="262">
        <f>COUNTIF((C5:N148),"KL2809")</f>
        <v>0</v>
      </c>
      <c r="AD111" s="155"/>
    </row>
    <row r="112" spans="1:33" s="5" customFormat="1" ht="12.75" customHeight="1" x14ac:dyDescent="0.2">
      <c r="A112" s="44"/>
      <c r="B112" s="576"/>
      <c r="C112" s="381"/>
      <c r="D112" s="175" t="s">
        <v>29</v>
      </c>
      <c r="E112" s="176"/>
      <c r="F112" s="176"/>
      <c r="G112" s="176"/>
      <c r="H112" s="290">
        <v>4</v>
      </c>
      <c r="I112" s="389" t="s">
        <v>1055</v>
      </c>
      <c r="J112" s="390"/>
      <c r="K112" s="391"/>
      <c r="L112" s="261"/>
      <c r="M112" s="588"/>
      <c r="N112" s="396"/>
      <c r="O112" s="66" t="s">
        <v>39</v>
      </c>
      <c r="P112" s="88"/>
      <c r="Q112" s="56">
        <v>4</v>
      </c>
      <c r="R112" s="374" t="s">
        <v>1231</v>
      </c>
      <c r="S112" s="375"/>
      <c r="T112" s="376"/>
      <c r="U112" s="208"/>
      <c r="V112" s="141"/>
      <c r="W112" s="141"/>
      <c r="X112" s="141"/>
      <c r="Y112" s="141"/>
      <c r="Z112" s="127" t="s">
        <v>319</v>
      </c>
      <c r="AA112" s="150" t="s">
        <v>306</v>
      </c>
      <c r="AB112" s="135" t="s">
        <v>299</v>
      </c>
      <c r="AC112" s="262">
        <f>COUNTIF((C5:N148),"KL3062-13") + COUNTIF((C5:N148),"KL3062-0013")</f>
        <v>0</v>
      </c>
      <c r="AD112" s="155"/>
    </row>
    <row r="113" spans="1:30" s="5" customFormat="1" ht="12.75" customHeight="1" x14ac:dyDescent="0.2">
      <c r="A113" s="44"/>
      <c r="B113" s="576"/>
      <c r="C113" s="381"/>
      <c r="D113" s="278" t="s">
        <v>30</v>
      </c>
      <c r="E113" s="281"/>
      <c r="F113" s="281"/>
      <c r="G113" s="281"/>
      <c r="H113" s="289">
        <v>5</v>
      </c>
      <c r="I113" s="389" t="s">
        <v>1056</v>
      </c>
      <c r="J113" s="390"/>
      <c r="K113" s="391"/>
      <c r="L113" s="261"/>
      <c r="M113" s="567"/>
      <c r="N113" s="397"/>
      <c r="O113" s="67" t="s">
        <v>40</v>
      </c>
      <c r="P113" s="89"/>
      <c r="Q113" s="120">
        <v>5</v>
      </c>
      <c r="R113" s="605"/>
      <c r="S113" s="606"/>
      <c r="T113" s="607"/>
      <c r="U113" s="208"/>
      <c r="V113" s="141"/>
      <c r="W113" s="141"/>
      <c r="X113" s="141"/>
      <c r="Y113" s="141"/>
      <c r="Z113" s="127" t="s">
        <v>318</v>
      </c>
      <c r="AA113" s="150" t="s">
        <v>305</v>
      </c>
      <c r="AB113" s="135" t="s">
        <v>311</v>
      </c>
      <c r="AC113" s="262">
        <f>COUNTIF((C5:N148),"KL3064-11") + COUNTIF((C5:N148),"KL3064-0011")</f>
        <v>0</v>
      </c>
      <c r="AD113" s="155"/>
    </row>
    <row r="114" spans="1:30" s="5" customFormat="1" ht="12.75" customHeight="1" x14ac:dyDescent="0.2">
      <c r="A114" s="44"/>
      <c r="B114" s="576"/>
      <c r="C114" s="381"/>
      <c r="D114" s="175" t="s">
        <v>31</v>
      </c>
      <c r="E114" s="280"/>
      <c r="F114" s="280"/>
      <c r="G114" s="280"/>
      <c r="H114" s="290">
        <v>6</v>
      </c>
      <c r="I114" s="389" t="s">
        <v>1057</v>
      </c>
      <c r="J114" s="390"/>
      <c r="K114" s="391"/>
      <c r="L114" s="261"/>
      <c r="M114" s="567"/>
      <c r="N114" s="397"/>
      <c r="O114" s="67" t="s">
        <v>41</v>
      </c>
      <c r="P114" s="89"/>
      <c r="Q114" s="119">
        <v>6</v>
      </c>
      <c r="R114" s="608"/>
      <c r="S114" s="609"/>
      <c r="T114" s="610"/>
      <c r="U114" s="208"/>
      <c r="V114" s="141"/>
      <c r="W114" s="141"/>
      <c r="X114" s="141"/>
      <c r="Y114" s="141"/>
      <c r="Z114" s="127" t="s">
        <v>317</v>
      </c>
      <c r="AA114" s="150" t="s">
        <v>305</v>
      </c>
      <c r="AB114" s="135" t="s">
        <v>298</v>
      </c>
      <c r="AC114" s="151">
        <f>COUNTIF((C5:N148),"KL3064")</f>
        <v>0</v>
      </c>
      <c r="AD114" s="155"/>
    </row>
    <row r="115" spans="1:30" s="5" customFormat="1" ht="12.75" customHeight="1" thickBot="1" x14ac:dyDescent="0.25">
      <c r="A115" s="44"/>
      <c r="B115" s="577"/>
      <c r="C115" s="382"/>
      <c r="D115" s="16" t="s">
        <v>32</v>
      </c>
      <c r="E115" s="81"/>
      <c r="F115" s="81"/>
      <c r="G115" s="81"/>
      <c r="H115" s="291">
        <v>7</v>
      </c>
      <c r="I115" s="439" t="s">
        <v>1058</v>
      </c>
      <c r="J115" s="440"/>
      <c r="K115" s="441"/>
      <c r="L115" s="261"/>
      <c r="M115" s="589"/>
      <c r="N115" s="398"/>
      <c r="O115" s="68" t="s">
        <v>42</v>
      </c>
      <c r="P115" s="87"/>
      <c r="Q115" s="57">
        <v>7</v>
      </c>
      <c r="R115" s="611"/>
      <c r="S115" s="612"/>
      <c r="T115" s="613"/>
      <c r="U115" s="208"/>
      <c r="V115" s="141"/>
      <c r="W115" s="141"/>
      <c r="X115" s="141"/>
      <c r="Y115" s="141"/>
      <c r="Z115" s="127" t="s">
        <v>317</v>
      </c>
      <c r="AA115" s="150" t="s">
        <v>306</v>
      </c>
      <c r="AB115" s="130" t="s">
        <v>312</v>
      </c>
      <c r="AC115" s="151">
        <f>COUNTIF((C5:N148),"KL3062")</f>
        <v>0</v>
      </c>
      <c r="AD115" s="155"/>
    </row>
    <row r="116" spans="1:30" s="5" customFormat="1" ht="12.75" customHeight="1" x14ac:dyDescent="0.2">
      <c r="A116" s="44"/>
      <c r="B116" s="575"/>
      <c r="C116" s="380" t="s">
        <v>981</v>
      </c>
      <c r="D116" s="15" t="s">
        <v>33</v>
      </c>
      <c r="E116" s="79"/>
      <c r="F116" s="83"/>
      <c r="G116" s="83"/>
      <c r="H116" s="288">
        <v>8</v>
      </c>
      <c r="I116" s="615" t="s">
        <v>1075</v>
      </c>
      <c r="J116" s="616"/>
      <c r="K116" s="617"/>
      <c r="L116" s="261"/>
      <c r="M116" s="588"/>
      <c r="N116" s="396"/>
      <c r="O116" s="66" t="s">
        <v>43</v>
      </c>
      <c r="P116" s="88"/>
      <c r="Q116" s="56">
        <v>8</v>
      </c>
      <c r="R116" s="534"/>
      <c r="S116" s="535"/>
      <c r="T116" s="536"/>
      <c r="U116" s="98"/>
      <c r="V116" s="141"/>
      <c r="W116" s="141"/>
      <c r="X116" s="141"/>
      <c r="Y116" s="141"/>
      <c r="Z116" s="127" t="s">
        <v>318</v>
      </c>
      <c r="AA116" s="150" t="s">
        <v>306</v>
      </c>
      <c r="AB116" s="135" t="s">
        <v>323</v>
      </c>
      <c r="AC116" s="151">
        <f>COUNTIF((C5:N148),"KL3062-11") + COUNTIF((C5:N148),"KL3062-0011")</f>
        <v>0</v>
      </c>
      <c r="AD116" s="155"/>
    </row>
    <row r="117" spans="1:30" s="5" customFormat="1" ht="12.75" customHeight="1" x14ac:dyDescent="0.2">
      <c r="A117" s="44"/>
      <c r="B117" s="576"/>
      <c r="C117" s="381"/>
      <c r="D117" s="278" t="s">
        <v>34</v>
      </c>
      <c r="E117" s="279"/>
      <c r="F117" s="282"/>
      <c r="G117" s="282"/>
      <c r="H117" s="289">
        <v>9</v>
      </c>
      <c r="I117" s="392" t="s">
        <v>1076</v>
      </c>
      <c r="J117" s="393"/>
      <c r="K117" s="395"/>
      <c r="L117" s="261"/>
      <c r="M117" s="567"/>
      <c r="N117" s="397"/>
      <c r="O117" s="67" t="s">
        <v>44</v>
      </c>
      <c r="P117" s="89"/>
      <c r="Q117" s="120">
        <v>9</v>
      </c>
      <c r="R117" s="389"/>
      <c r="S117" s="390"/>
      <c r="T117" s="391"/>
      <c r="U117" s="98"/>
      <c r="V117" s="141"/>
      <c r="W117" s="141"/>
      <c r="X117" s="141"/>
      <c r="Y117" s="141"/>
      <c r="Z117" s="127" t="s">
        <v>317</v>
      </c>
      <c r="AA117" s="150" t="s">
        <v>304</v>
      </c>
      <c r="AB117" s="130" t="s">
        <v>310</v>
      </c>
      <c r="AC117" s="151">
        <f>COUNTIF((C5:N148),"KL4002")</f>
        <v>0</v>
      </c>
      <c r="AD117" s="155"/>
    </row>
    <row r="118" spans="1:30" s="5" customFormat="1" ht="12.75" customHeight="1" x14ac:dyDescent="0.2">
      <c r="A118" s="44"/>
      <c r="B118" s="576"/>
      <c r="C118" s="381"/>
      <c r="D118" s="175" t="s">
        <v>35</v>
      </c>
      <c r="E118" s="280"/>
      <c r="F118" s="178"/>
      <c r="G118" s="178"/>
      <c r="H118" s="290">
        <v>10</v>
      </c>
      <c r="I118" s="392" t="s">
        <v>1109</v>
      </c>
      <c r="J118" s="393"/>
      <c r="K118" s="395"/>
      <c r="L118" s="261"/>
      <c r="M118" s="567"/>
      <c r="N118" s="397"/>
      <c r="O118" s="67" t="s">
        <v>45</v>
      </c>
      <c r="P118" s="89"/>
      <c r="Q118" s="119">
        <v>10</v>
      </c>
      <c r="R118" s="389"/>
      <c r="S118" s="390"/>
      <c r="T118" s="391"/>
      <c r="U118" s="98"/>
      <c r="V118" s="141"/>
      <c r="W118" s="141"/>
      <c r="X118" s="141"/>
      <c r="Y118" s="141"/>
      <c r="Z118" s="127" t="s">
        <v>320</v>
      </c>
      <c r="AA118" s="150" t="s">
        <v>307</v>
      </c>
      <c r="AB118" s="131" t="s">
        <v>313</v>
      </c>
      <c r="AC118" s="151">
        <f>COUNTIF((C5:N148),"KL3011")</f>
        <v>0</v>
      </c>
      <c r="AD118" s="155"/>
    </row>
    <row r="119" spans="1:30" s="5" customFormat="1" ht="12.75" customHeight="1" thickBot="1" x14ac:dyDescent="0.25">
      <c r="A119" s="44"/>
      <c r="B119" s="576"/>
      <c r="C119" s="381"/>
      <c r="D119" s="278" t="s">
        <v>36</v>
      </c>
      <c r="E119" s="281"/>
      <c r="F119" s="282"/>
      <c r="G119" s="282"/>
      <c r="H119" s="289">
        <v>11</v>
      </c>
      <c r="I119" s="392" t="s">
        <v>1110</v>
      </c>
      <c r="J119" s="393"/>
      <c r="K119" s="395"/>
      <c r="L119" s="261"/>
      <c r="M119" s="589"/>
      <c r="N119" s="398"/>
      <c r="O119" s="68" t="s">
        <v>46</v>
      </c>
      <c r="P119" s="87"/>
      <c r="Q119" s="57">
        <v>11</v>
      </c>
      <c r="R119" s="529"/>
      <c r="S119" s="530"/>
      <c r="T119" s="531"/>
      <c r="U119" s="98"/>
      <c r="V119" s="141"/>
      <c r="W119" s="141"/>
      <c r="X119" s="141"/>
      <c r="Y119" s="141"/>
      <c r="Z119" s="127" t="s">
        <v>320</v>
      </c>
      <c r="AA119" s="150" t="s">
        <v>306</v>
      </c>
      <c r="AB119" s="133" t="s">
        <v>314</v>
      </c>
      <c r="AC119" s="151">
        <f>COUNTIF((C5:N148),"KL3012")</f>
        <v>0</v>
      </c>
      <c r="AD119" s="155"/>
    </row>
    <row r="120" spans="1:30" s="5" customFormat="1" ht="12.75" customHeight="1" outlineLevel="1" x14ac:dyDescent="0.2">
      <c r="A120" s="44"/>
      <c r="B120" s="576"/>
      <c r="C120" s="381"/>
      <c r="D120" s="175" t="s">
        <v>37</v>
      </c>
      <c r="E120" s="180"/>
      <c r="F120" s="177"/>
      <c r="G120" s="177"/>
      <c r="H120" s="119">
        <v>12</v>
      </c>
      <c r="I120" s="386" t="s">
        <v>1111</v>
      </c>
      <c r="J120" s="387"/>
      <c r="K120" s="388"/>
      <c r="L120" s="261"/>
      <c r="M120" s="581"/>
      <c r="N120" s="396"/>
      <c r="O120" s="12" t="s">
        <v>47</v>
      </c>
      <c r="P120" s="88"/>
      <c r="Q120" s="56">
        <v>12</v>
      </c>
      <c r="R120" s="534"/>
      <c r="S120" s="535"/>
      <c r="T120" s="536"/>
      <c r="U120" s="98"/>
      <c r="V120" s="141"/>
      <c r="W120" s="141"/>
      <c r="X120" s="141"/>
      <c r="Y120" s="141"/>
      <c r="Z120" s="127" t="s">
        <v>321</v>
      </c>
      <c r="AA120" s="150" t="s">
        <v>306</v>
      </c>
      <c r="AB120" s="133" t="s">
        <v>315</v>
      </c>
      <c r="AC120" s="151">
        <f>COUNTIF((C5:N148),"KL3022")</f>
        <v>0</v>
      </c>
      <c r="AD120" s="155"/>
    </row>
    <row r="121" spans="1:30" s="5" customFormat="1" ht="12.75" customHeight="1" outlineLevel="1" thickBot="1" x14ac:dyDescent="0.25">
      <c r="A121" s="44"/>
      <c r="B121" s="576"/>
      <c r="C121" s="381"/>
      <c r="D121" s="175" t="s">
        <v>38</v>
      </c>
      <c r="E121" s="287"/>
      <c r="F121" s="177"/>
      <c r="G121" s="177"/>
      <c r="H121" s="119">
        <v>13</v>
      </c>
      <c r="I121" s="386" t="s">
        <v>1112</v>
      </c>
      <c r="J121" s="387"/>
      <c r="K121" s="388"/>
      <c r="L121" s="261"/>
      <c r="M121" s="532"/>
      <c r="N121" s="397"/>
      <c r="O121" s="13" t="s">
        <v>48</v>
      </c>
      <c r="P121" s="89"/>
      <c r="Q121" s="120">
        <v>13</v>
      </c>
      <c r="R121" s="389"/>
      <c r="S121" s="390"/>
      <c r="T121" s="391"/>
      <c r="U121" s="98"/>
      <c r="V121" s="141"/>
      <c r="W121" s="141"/>
      <c r="X121" s="141"/>
      <c r="Y121" s="141"/>
      <c r="Z121" s="128" t="s">
        <v>322</v>
      </c>
      <c r="AA121" s="153" t="s">
        <v>307</v>
      </c>
      <c r="AB121" s="132" t="s">
        <v>316</v>
      </c>
      <c r="AC121" s="154">
        <f>COUNTIF((C5:N148),"KL3201")</f>
        <v>0</v>
      </c>
      <c r="AD121" s="155"/>
    </row>
    <row r="122" spans="1:30" s="5" customFormat="1" ht="12.75" customHeight="1" outlineLevel="1" x14ac:dyDescent="0.2">
      <c r="A122" s="44"/>
      <c r="B122" s="576"/>
      <c r="C122" s="381"/>
      <c r="D122" s="175" t="s">
        <v>368</v>
      </c>
      <c r="E122" s="180"/>
      <c r="F122" s="177"/>
      <c r="G122" s="177"/>
      <c r="H122" s="119">
        <v>14</v>
      </c>
      <c r="I122" s="392" t="s">
        <v>1113</v>
      </c>
      <c r="J122" s="393"/>
      <c r="K122" s="395"/>
      <c r="L122" s="261"/>
      <c r="M122" s="532"/>
      <c r="N122" s="397"/>
      <c r="O122" s="174" t="s">
        <v>369</v>
      </c>
      <c r="P122" s="181"/>
      <c r="Q122" s="119">
        <v>14</v>
      </c>
      <c r="R122" s="537"/>
      <c r="S122" s="538"/>
      <c r="T122" s="539"/>
      <c r="U122" s="98"/>
      <c r="V122" s="141"/>
      <c r="W122" s="141"/>
      <c r="X122" s="141"/>
      <c r="Y122" s="141"/>
      <c r="Z122" s="134"/>
      <c r="AA122" s="134"/>
      <c r="AB122" s="182"/>
      <c r="AC122" s="155"/>
      <c r="AD122" s="155"/>
    </row>
    <row r="123" spans="1:30" s="5" customFormat="1" ht="12.75" customHeight="1" outlineLevel="1" thickBot="1" x14ac:dyDescent="0.25">
      <c r="A123" s="44"/>
      <c r="B123" s="577"/>
      <c r="C123" s="382"/>
      <c r="D123" s="70" t="s">
        <v>370</v>
      </c>
      <c r="E123" s="121"/>
      <c r="F123" s="84"/>
      <c r="G123" s="84"/>
      <c r="H123" s="57">
        <v>15</v>
      </c>
      <c r="I123" s="439" t="s">
        <v>1114</v>
      </c>
      <c r="J123" s="440"/>
      <c r="K123" s="441"/>
      <c r="L123" s="261"/>
      <c r="M123" s="533"/>
      <c r="N123" s="398"/>
      <c r="O123" s="14" t="s">
        <v>371</v>
      </c>
      <c r="P123" s="183"/>
      <c r="Q123" s="58">
        <v>15</v>
      </c>
      <c r="R123" s="389"/>
      <c r="S123" s="390"/>
      <c r="T123" s="391"/>
      <c r="U123" s="98"/>
      <c r="V123" s="141"/>
      <c r="W123" s="141"/>
      <c r="X123" s="141"/>
      <c r="Y123" s="141"/>
      <c r="Z123" s="134"/>
      <c r="AA123" s="134"/>
      <c r="AB123" s="134"/>
      <c r="AC123" s="155"/>
      <c r="AD123" s="155"/>
    </row>
    <row r="124" spans="1:30" s="5" customFormat="1" ht="12.75" customHeight="1" outlineLevel="1" x14ac:dyDescent="0.2">
      <c r="A124" s="44"/>
      <c r="B124" s="575"/>
      <c r="C124" s="380" t="s">
        <v>981</v>
      </c>
      <c r="D124" s="15" t="s">
        <v>375</v>
      </c>
      <c r="E124" s="79"/>
      <c r="F124" s="83"/>
      <c r="G124" s="83"/>
      <c r="H124" s="56">
        <v>16</v>
      </c>
      <c r="I124" s="578" t="s">
        <v>1115</v>
      </c>
      <c r="J124" s="579"/>
      <c r="K124" s="580"/>
      <c r="L124" s="261"/>
      <c r="M124" s="581"/>
      <c r="N124" s="396"/>
      <c r="O124" s="12" t="s">
        <v>376</v>
      </c>
      <c r="P124" s="88"/>
      <c r="Q124" s="56">
        <v>16</v>
      </c>
      <c r="R124" s="534"/>
      <c r="S124" s="535"/>
      <c r="T124" s="536"/>
      <c r="U124" s="98"/>
      <c r="V124" s="141"/>
      <c r="W124" s="141"/>
      <c r="X124" s="141"/>
      <c r="Y124" s="141"/>
      <c r="Z124" s="134"/>
      <c r="AA124" s="134"/>
      <c r="AB124" s="182"/>
      <c r="AC124" s="155"/>
      <c r="AD124" s="155"/>
    </row>
    <row r="125" spans="1:30" s="5" customFormat="1" ht="12.75" customHeight="1" outlineLevel="1" x14ac:dyDescent="0.2">
      <c r="A125" s="44"/>
      <c r="B125" s="576"/>
      <c r="C125" s="381"/>
      <c r="D125" s="278" t="s">
        <v>377</v>
      </c>
      <c r="E125" s="287"/>
      <c r="F125" s="177"/>
      <c r="G125" s="177"/>
      <c r="H125" s="120">
        <v>17</v>
      </c>
      <c r="I125" s="392" t="s">
        <v>1116</v>
      </c>
      <c r="J125" s="393"/>
      <c r="K125" s="395"/>
      <c r="L125" s="261"/>
      <c r="M125" s="532"/>
      <c r="N125" s="397"/>
      <c r="O125" s="13" t="s">
        <v>378</v>
      </c>
      <c r="P125" s="89"/>
      <c r="Q125" s="120">
        <v>17</v>
      </c>
      <c r="R125" s="389"/>
      <c r="S125" s="390"/>
      <c r="T125" s="391"/>
      <c r="U125" s="98"/>
      <c r="V125" s="141"/>
      <c r="W125" s="141"/>
      <c r="X125" s="141"/>
      <c r="Y125" s="141"/>
      <c r="Z125" s="134"/>
      <c r="AA125" s="134"/>
      <c r="AB125" s="134"/>
      <c r="AC125" s="155"/>
      <c r="AD125" s="155"/>
    </row>
    <row r="126" spans="1:30" s="5" customFormat="1" ht="12.75" customHeight="1" outlineLevel="1" x14ac:dyDescent="0.2">
      <c r="A126" s="44"/>
      <c r="B126" s="576"/>
      <c r="C126" s="381"/>
      <c r="D126" s="175" t="s">
        <v>379</v>
      </c>
      <c r="E126" s="180"/>
      <c r="F126" s="177"/>
      <c r="G126" s="177"/>
      <c r="H126" s="119">
        <v>18</v>
      </c>
      <c r="I126" s="392" t="s">
        <v>1117</v>
      </c>
      <c r="J126" s="393"/>
      <c r="K126" s="395"/>
      <c r="L126" s="261"/>
      <c r="M126" s="567"/>
      <c r="N126" s="397"/>
      <c r="O126" s="13" t="s">
        <v>380</v>
      </c>
      <c r="P126" s="181"/>
      <c r="Q126" s="120">
        <v>18</v>
      </c>
      <c r="R126" s="537"/>
      <c r="S126" s="538"/>
      <c r="T126" s="539"/>
      <c r="U126" s="98"/>
      <c r="V126" s="141"/>
      <c r="W126" s="141"/>
      <c r="X126" s="141"/>
      <c r="Y126" s="141"/>
      <c r="Z126" s="134"/>
      <c r="AA126" s="134"/>
      <c r="AB126" s="182"/>
      <c r="AC126" s="155"/>
      <c r="AD126" s="155"/>
    </row>
    <row r="127" spans="1:30" s="5" customFormat="1" ht="12.75" customHeight="1" outlineLevel="1" thickBot="1" x14ac:dyDescent="0.25">
      <c r="A127" s="44"/>
      <c r="B127" s="577"/>
      <c r="C127" s="381"/>
      <c r="D127" s="278" t="s">
        <v>381</v>
      </c>
      <c r="E127" s="279"/>
      <c r="F127" s="282"/>
      <c r="G127" s="282"/>
      <c r="H127" s="120">
        <v>19</v>
      </c>
      <c r="I127" s="392" t="s">
        <v>1118</v>
      </c>
      <c r="J127" s="393"/>
      <c r="K127" s="395"/>
      <c r="L127" s="261"/>
      <c r="M127" s="568"/>
      <c r="N127" s="398"/>
      <c r="O127" s="14" t="s">
        <v>382</v>
      </c>
      <c r="P127" s="183"/>
      <c r="Q127" s="57">
        <v>19</v>
      </c>
      <c r="R127" s="526"/>
      <c r="S127" s="527"/>
      <c r="T127" s="528"/>
      <c r="U127" s="98"/>
      <c r="V127" s="141"/>
      <c r="W127" s="141"/>
      <c r="X127" s="141"/>
      <c r="Y127" s="141"/>
      <c r="Z127" s="134"/>
      <c r="AA127" s="134"/>
      <c r="AB127" s="134"/>
      <c r="AC127" s="155"/>
      <c r="AD127" s="155"/>
    </row>
    <row r="128" spans="1:30" s="5" customFormat="1" ht="12.75" customHeight="1" outlineLevel="1" x14ac:dyDescent="0.2">
      <c r="A128" s="44"/>
      <c r="B128" s="575"/>
      <c r="C128" s="381"/>
      <c r="D128" s="175" t="s">
        <v>962</v>
      </c>
      <c r="E128" s="180"/>
      <c r="F128" s="177"/>
      <c r="G128" s="177"/>
      <c r="H128" s="119">
        <v>20</v>
      </c>
      <c r="I128" s="392" t="s">
        <v>1124</v>
      </c>
      <c r="J128" s="393"/>
      <c r="K128" s="395"/>
      <c r="L128" s="261"/>
      <c r="M128" s="581"/>
      <c r="N128" s="396"/>
      <c r="O128" s="12" t="s">
        <v>966</v>
      </c>
      <c r="P128" s="88"/>
      <c r="Q128" s="56">
        <v>20</v>
      </c>
      <c r="R128" s="534"/>
      <c r="S128" s="535"/>
      <c r="T128" s="536"/>
      <c r="U128" s="98"/>
      <c r="V128" s="141"/>
      <c r="W128" s="141"/>
      <c r="X128" s="141"/>
      <c r="Y128" s="141"/>
      <c r="Z128" s="134"/>
      <c r="AA128" s="134"/>
      <c r="AB128" s="182"/>
      <c r="AC128" s="155"/>
      <c r="AD128" s="155"/>
    </row>
    <row r="129" spans="1:30" s="5" customFormat="1" ht="12.75" customHeight="1" outlineLevel="1" x14ac:dyDescent="0.2">
      <c r="A129" s="44"/>
      <c r="B129" s="576"/>
      <c r="C129" s="381"/>
      <c r="D129" s="278" t="s">
        <v>963</v>
      </c>
      <c r="E129" s="287"/>
      <c r="F129" s="177"/>
      <c r="G129" s="177"/>
      <c r="H129" s="120">
        <v>21</v>
      </c>
      <c r="I129" s="392" t="s">
        <v>1125</v>
      </c>
      <c r="J129" s="393"/>
      <c r="K129" s="395"/>
      <c r="L129" s="261"/>
      <c r="M129" s="532"/>
      <c r="N129" s="397"/>
      <c r="O129" s="13" t="s">
        <v>967</v>
      </c>
      <c r="P129" s="89"/>
      <c r="Q129" s="120">
        <v>21</v>
      </c>
      <c r="R129" s="389"/>
      <c r="S129" s="390"/>
      <c r="T129" s="391"/>
      <c r="U129" s="98"/>
      <c r="V129" s="141"/>
      <c r="W129" s="141"/>
      <c r="X129" s="141"/>
      <c r="Y129" s="141"/>
      <c r="Z129" s="134"/>
      <c r="AA129" s="134"/>
      <c r="AB129" s="134"/>
      <c r="AC129" s="155"/>
      <c r="AD129" s="155"/>
    </row>
    <row r="130" spans="1:30" s="5" customFormat="1" ht="12.75" customHeight="1" outlineLevel="1" x14ac:dyDescent="0.2">
      <c r="A130" s="44"/>
      <c r="B130" s="576"/>
      <c r="C130" s="381"/>
      <c r="D130" s="278" t="s">
        <v>964</v>
      </c>
      <c r="E130" s="180"/>
      <c r="F130" s="177"/>
      <c r="G130" s="177"/>
      <c r="H130" s="120">
        <v>22</v>
      </c>
      <c r="I130" s="392" t="s">
        <v>1126</v>
      </c>
      <c r="J130" s="393"/>
      <c r="K130" s="395"/>
      <c r="L130" s="261"/>
      <c r="M130" s="567"/>
      <c r="N130" s="397"/>
      <c r="O130" s="13" t="s">
        <v>968</v>
      </c>
      <c r="P130" s="181"/>
      <c r="Q130" s="120">
        <v>22</v>
      </c>
      <c r="R130" s="537"/>
      <c r="S130" s="538"/>
      <c r="T130" s="539"/>
      <c r="U130" s="98"/>
      <c r="V130" s="141"/>
      <c r="W130" s="141"/>
      <c r="X130" s="141"/>
      <c r="Y130" s="141"/>
      <c r="Z130" s="134"/>
      <c r="AA130" s="134"/>
      <c r="AB130" s="182"/>
      <c r="AC130" s="155"/>
      <c r="AD130" s="155"/>
    </row>
    <row r="131" spans="1:30" s="5" customFormat="1" ht="12.75" customHeight="1" outlineLevel="1" thickBot="1" x14ac:dyDescent="0.25">
      <c r="A131" s="44"/>
      <c r="B131" s="576"/>
      <c r="C131" s="382"/>
      <c r="D131" s="70" t="s">
        <v>965</v>
      </c>
      <c r="E131" s="121"/>
      <c r="F131" s="84"/>
      <c r="G131" s="84"/>
      <c r="H131" s="57">
        <v>23</v>
      </c>
      <c r="I131" s="439" t="s">
        <v>1130</v>
      </c>
      <c r="J131" s="440"/>
      <c r="K131" s="441"/>
      <c r="L131" s="261"/>
      <c r="M131" s="568"/>
      <c r="N131" s="398"/>
      <c r="O131" s="314" t="s">
        <v>969</v>
      </c>
      <c r="P131" s="183"/>
      <c r="Q131" s="57">
        <v>23</v>
      </c>
      <c r="R131" s="526"/>
      <c r="S131" s="527"/>
      <c r="T131" s="528"/>
      <c r="U131" s="98"/>
      <c r="V131" s="141"/>
      <c r="W131" s="141"/>
      <c r="X131" s="141"/>
      <c r="Y131" s="141"/>
      <c r="Z131" s="134"/>
      <c r="AA131" s="134"/>
      <c r="AB131" s="134"/>
      <c r="AC131" s="155"/>
      <c r="AD131" s="155"/>
    </row>
    <row r="132" spans="1:30" s="5" customFormat="1" ht="12.75" customHeight="1" outlineLevel="1" thickBot="1" x14ac:dyDescent="0.25">
      <c r="A132" s="44"/>
      <c r="B132" s="576"/>
      <c r="C132" s="380" t="s">
        <v>981</v>
      </c>
      <c r="D132" s="15" t="s">
        <v>1059</v>
      </c>
      <c r="E132" s="79"/>
      <c r="F132" s="83"/>
      <c r="G132" s="83"/>
      <c r="H132" s="56">
        <v>24</v>
      </c>
      <c r="I132" s="578" t="s">
        <v>1129</v>
      </c>
      <c r="J132" s="579"/>
      <c r="K132" s="580"/>
      <c r="L132" s="261"/>
      <c r="M132" s="581"/>
      <c r="N132" s="396"/>
      <c r="O132" s="12" t="s">
        <v>1093</v>
      </c>
      <c r="P132" s="88"/>
      <c r="Q132" s="56">
        <v>24</v>
      </c>
      <c r="R132" s="534"/>
      <c r="S132" s="535"/>
      <c r="T132" s="536"/>
      <c r="U132" s="98"/>
      <c r="V132" s="141"/>
      <c r="W132" s="141"/>
      <c r="X132" s="141"/>
      <c r="Y132" s="141"/>
      <c r="Z132" s="134"/>
      <c r="AA132" s="134"/>
      <c r="AB132" s="182"/>
      <c r="AC132" s="155"/>
      <c r="AD132" s="155"/>
    </row>
    <row r="133" spans="1:30" s="5" customFormat="1" ht="12.75" customHeight="1" outlineLevel="1" x14ac:dyDescent="0.2">
      <c r="A133" s="44"/>
      <c r="B133" s="575"/>
      <c r="C133" s="381"/>
      <c r="D133" s="278" t="s">
        <v>1060</v>
      </c>
      <c r="E133" s="287"/>
      <c r="F133" s="177"/>
      <c r="G133" s="177"/>
      <c r="H133" s="120">
        <v>25</v>
      </c>
      <c r="I133" s="392" t="s">
        <v>1128</v>
      </c>
      <c r="J133" s="393"/>
      <c r="K133" s="395"/>
      <c r="L133" s="261"/>
      <c r="M133" s="532"/>
      <c r="N133" s="397"/>
      <c r="O133" s="13" t="s">
        <v>1094</v>
      </c>
      <c r="P133" s="89"/>
      <c r="Q133" s="120">
        <v>25</v>
      </c>
      <c r="R133" s="389"/>
      <c r="S133" s="390"/>
      <c r="T133" s="391"/>
      <c r="U133" s="98"/>
      <c r="V133" s="141"/>
      <c r="W133" s="141"/>
      <c r="X133" s="141"/>
      <c r="Y133" s="141"/>
      <c r="Z133" s="134"/>
      <c r="AA133" s="134"/>
      <c r="AB133" s="134"/>
      <c r="AC133" s="155"/>
      <c r="AD133" s="155"/>
    </row>
    <row r="134" spans="1:30" s="5" customFormat="1" ht="12.75" customHeight="1" outlineLevel="1" x14ac:dyDescent="0.2">
      <c r="A134" s="44"/>
      <c r="B134" s="576"/>
      <c r="C134" s="381"/>
      <c r="D134" s="175" t="s">
        <v>1061</v>
      </c>
      <c r="E134" s="180"/>
      <c r="F134" s="177"/>
      <c r="G134" s="177"/>
      <c r="H134" s="120">
        <v>26</v>
      </c>
      <c r="I134" s="392" t="s">
        <v>1127</v>
      </c>
      <c r="J134" s="393"/>
      <c r="K134" s="395"/>
      <c r="L134" s="261"/>
      <c r="M134" s="567"/>
      <c r="N134" s="397"/>
      <c r="O134" s="13" t="s">
        <v>1095</v>
      </c>
      <c r="P134" s="181"/>
      <c r="Q134" s="120">
        <v>26</v>
      </c>
      <c r="R134" s="537"/>
      <c r="S134" s="538"/>
      <c r="T134" s="539"/>
      <c r="U134" s="98"/>
      <c r="V134" s="141"/>
      <c r="W134" s="141"/>
      <c r="X134" s="141"/>
      <c r="Y134" s="141"/>
      <c r="Z134" s="134"/>
      <c r="AA134" s="134"/>
      <c r="AB134" s="182"/>
      <c r="AC134" s="155"/>
      <c r="AD134" s="155"/>
    </row>
    <row r="135" spans="1:30" s="5" customFormat="1" ht="12.75" customHeight="1" outlineLevel="1" thickBot="1" x14ac:dyDescent="0.25">
      <c r="A135" s="44"/>
      <c r="B135" s="576"/>
      <c r="C135" s="381"/>
      <c r="D135" s="278" t="s">
        <v>1062</v>
      </c>
      <c r="E135" s="279"/>
      <c r="F135" s="282"/>
      <c r="G135" s="282"/>
      <c r="H135" s="120">
        <v>27</v>
      </c>
      <c r="I135" s="392" t="s">
        <v>1131</v>
      </c>
      <c r="J135" s="393"/>
      <c r="K135" s="395"/>
      <c r="L135" s="261"/>
      <c r="M135" s="568"/>
      <c r="N135" s="398"/>
      <c r="O135" s="14" t="s">
        <v>1096</v>
      </c>
      <c r="P135" s="183"/>
      <c r="Q135" s="57">
        <v>27</v>
      </c>
      <c r="R135" s="526"/>
      <c r="S135" s="527"/>
      <c r="T135" s="528"/>
      <c r="U135" s="98"/>
      <c r="V135" s="141"/>
      <c r="W135" s="141"/>
      <c r="X135" s="141"/>
      <c r="Y135" s="141"/>
      <c r="Z135" s="134"/>
      <c r="AA135" s="134"/>
      <c r="AB135" s="134"/>
      <c r="AC135" s="155"/>
      <c r="AD135" s="155"/>
    </row>
    <row r="136" spans="1:30" s="5" customFormat="1" ht="12.75" customHeight="1" outlineLevel="1" x14ac:dyDescent="0.2">
      <c r="A136" s="44"/>
      <c r="B136" s="576"/>
      <c r="C136" s="381"/>
      <c r="D136" s="175" t="s">
        <v>1063</v>
      </c>
      <c r="E136" s="180"/>
      <c r="F136" s="177"/>
      <c r="G136" s="177"/>
      <c r="H136" s="120">
        <v>28</v>
      </c>
      <c r="I136" s="392" t="s">
        <v>1123</v>
      </c>
      <c r="J136" s="393"/>
      <c r="K136" s="395"/>
      <c r="L136" s="261"/>
      <c r="M136" s="581"/>
      <c r="N136" s="396"/>
      <c r="O136" s="12" t="s">
        <v>1097</v>
      </c>
      <c r="P136" s="88"/>
      <c r="Q136" s="56">
        <v>28</v>
      </c>
      <c r="R136" s="534"/>
      <c r="S136" s="535"/>
      <c r="T136" s="536"/>
      <c r="U136" s="98"/>
      <c r="V136" s="141"/>
      <c r="W136" s="141"/>
      <c r="X136" s="141"/>
      <c r="Y136" s="141"/>
      <c r="Z136" s="134"/>
      <c r="AA136" s="134"/>
      <c r="AB136" s="182"/>
      <c r="AC136" s="155"/>
      <c r="AD136" s="155"/>
    </row>
    <row r="137" spans="1:30" s="5" customFormat="1" ht="12.75" customHeight="1" outlineLevel="1" thickBot="1" x14ac:dyDescent="0.25">
      <c r="A137" s="44"/>
      <c r="B137" s="577"/>
      <c r="C137" s="381"/>
      <c r="D137" s="278" t="s">
        <v>1064</v>
      </c>
      <c r="E137" s="287"/>
      <c r="F137" s="177"/>
      <c r="G137" s="177"/>
      <c r="H137" s="120">
        <v>29</v>
      </c>
      <c r="I137" s="392" t="s">
        <v>1122</v>
      </c>
      <c r="J137" s="393"/>
      <c r="K137" s="395"/>
      <c r="L137" s="261"/>
      <c r="M137" s="532"/>
      <c r="N137" s="397"/>
      <c r="O137" s="13" t="s">
        <v>1098</v>
      </c>
      <c r="P137" s="89"/>
      <c r="Q137" s="120">
        <v>29</v>
      </c>
      <c r="R137" s="389"/>
      <c r="S137" s="390"/>
      <c r="T137" s="391"/>
      <c r="U137" s="98"/>
      <c r="V137" s="141"/>
      <c r="W137" s="141"/>
      <c r="X137" s="141"/>
      <c r="Y137" s="141"/>
      <c r="Z137" s="134"/>
      <c r="AA137" s="134"/>
      <c r="AB137" s="134"/>
      <c r="AC137" s="155"/>
      <c r="AD137" s="155"/>
    </row>
    <row r="138" spans="1:30" s="5" customFormat="1" ht="12.75" customHeight="1" outlineLevel="1" x14ac:dyDescent="0.2">
      <c r="A138" s="44"/>
      <c r="B138" s="360"/>
      <c r="C138" s="381"/>
      <c r="D138" s="278" t="s">
        <v>1065</v>
      </c>
      <c r="E138" s="180"/>
      <c r="F138" s="177"/>
      <c r="G138" s="177"/>
      <c r="H138" s="120">
        <v>30</v>
      </c>
      <c r="I138" s="405" t="s">
        <v>269</v>
      </c>
      <c r="J138" s="393" t="s">
        <v>260</v>
      </c>
      <c r="K138" s="394" t="s">
        <v>260</v>
      </c>
      <c r="L138" s="261"/>
      <c r="M138" s="567"/>
      <c r="N138" s="397"/>
      <c r="O138" s="13" t="s">
        <v>1099</v>
      </c>
      <c r="P138" s="181"/>
      <c r="Q138" s="120">
        <v>30</v>
      </c>
      <c r="R138" s="537"/>
      <c r="S138" s="538"/>
      <c r="T138" s="539"/>
      <c r="U138" s="98"/>
      <c r="V138" s="141"/>
      <c r="W138" s="141"/>
      <c r="X138" s="141"/>
      <c r="Y138" s="141"/>
      <c r="Z138" s="134"/>
      <c r="AA138" s="134"/>
      <c r="AB138" s="182"/>
      <c r="AC138" s="155"/>
      <c r="AD138" s="155"/>
    </row>
    <row r="139" spans="1:30" s="5" customFormat="1" ht="12.75" customHeight="1" outlineLevel="1" thickBot="1" x14ac:dyDescent="0.25">
      <c r="A139" s="44"/>
      <c r="B139" s="361"/>
      <c r="C139" s="382"/>
      <c r="D139" s="70" t="s">
        <v>1066</v>
      </c>
      <c r="E139" s="121"/>
      <c r="F139" s="84"/>
      <c r="G139" s="84"/>
      <c r="H139" s="57">
        <v>31</v>
      </c>
      <c r="I139" s="412" t="s">
        <v>269</v>
      </c>
      <c r="J139" s="413"/>
      <c r="K139" s="414"/>
      <c r="L139" s="261"/>
      <c r="M139" s="568"/>
      <c r="N139" s="398"/>
      <c r="O139" s="314" t="s">
        <v>1100</v>
      </c>
      <c r="P139" s="183"/>
      <c r="Q139" s="57">
        <v>31</v>
      </c>
      <c r="R139" s="526"/>
      <c r="S139" s="527"/>
      <c r="T139" s="528"/>
      <c r="U139" s="98"/>
      <c r="V139" s="141"/>
      <c r="W139" s="141"/>
      <c r="X139" s="141"/>
      <c r="Y139" s="141"/>
      <c r="Z139" s="134"/>
      <c r="AA139" s="134"/>
      <c r="AB139" s="134"/>
      <c r="AC139" s="155"/>
      <c r="AD139" s="155"/>
    </row>
    <row r="140" spans="1:30" s="5" customFormat="1" ht="12.75" customHeight="1" outlineLevel="2" x14ac:dyDescent="0.2">
      <c r="A140" s="44"/>
      <c r="B140" s="563"/>
      <c r="C140" s="380"/>
      <c r="D140" s="15" t="s">
        <v>1067</v>
      </c>
      <c r="E140" s="79"/>
      <c r="F140" s="83"/>
      <c r="G140" s="83"/>
      <c r="H140" s="56">
        <v>32</v>
      </c>
      <c r="I140" s="374" t="s">
        <v>1231</v>
      </c>
      <c r="J140" s="375"/>
      <c r="K140" s="376"/>
      <c r="L140" s="261"/>
      <c r="M140" s="581"/>
      <c r="N140" s="396"/>
      <c r="O140" s="12" t="s">
        <v>1101</v>
      </c>
      <c r="P140" s="88"/>
      <c r="Q140" s="56">
        <v>32</v>
      </c>
      <c r="R140" s="534"/>
      <c r="S140" s="535"/>
      <c r="T140" s="536"/>
      <c r="U140" s="98"/>
      <c r="V140" s="141"/>
      <c r="W140" s="141"/>
      <c r="X140" s="141"/>
      <c r="Y140" s="141"/>
      <c r="Z140" s="134"/>
      <c r="AA140" s="134"/>
      <c r="AB140" s="182"/>
      <c r="AC140" s="155"/>
      <c r="AD140" s="155"/>
    </row>
    <row r="141" spans="1:30" s="5" customFormat="1" ht="12.75" customHeight="1" outlineLevel="2" x14ac:dyDescent="0.2">
      <c r="A141" s="44"/>
      <c r="B141" s="564"/>
      <c r="C141" s="381"/>
      <c r="D141" s="278" t="s">
        <v>1068</v>
      </c>
      <c r="E141" s="287"/>
      <c r="F141" s="177"/>
      <c r="G141" s="177"/>
      <c r="H141" s="120">
        <v>33</v>
      </c>
      <c r="I141" s="392"/>
      <c r="J141" s="393"/>
      <c r="K141" s="395"/>
      <c r="L141" s="261"/>
      <c r="M141" s="532"/>
      <c r="N141" s="397"/>
      <c r="O141" s="13" t="s">
        <v>1102</v>
      </c>
      <c r="P141" s="89"/>
      <c r="Q141" s="120">
        <v>33</v>
      </c>
      <c r="R141" s="389"/>
      <c r="S141" s="390"/>
      <c r="T141" s="391"/>
      <c r="U141" s="98"/>
      <c r="V141" s="141"/>
      <c r="W141" s="141"/>
      <c r="X141" s="141"/>
      <c r="Y141" s="141"/>
      <c r="Z141" s="134"/>
      <c r="AA141" s="134"/>
      <c r="AB141" s="134"/>
      <c r="AC141" s="155"/>
      <c r="AD141" s="155"/>
    </row>
    <row r="142" spans="1:30" s="5" customFormat="1" ht="12.75" customHeight="1" outlineLevel="2" x14ac:dyDescent="0.2">
      <c r="A142" s="44"/>
      <c r="B142" s="564"/>
      <c r="C142" s="381"/>
      <c r="D142" s="175" t="s">
        <v>1069</v>
      </c>
      <c r="E142" s="180"/>
      <c r="F142" s="177"/>
      <c r="G142" s="177"/>
      <c r="H142" s="120">
        <v>34</v>
      </c>
      <c r="I142" s="392"/>
      <c r="J142" s="393"/>
      <c r="K142" s="395"/>
      <c r="L142" s="261"/>
      <c r="M142" s="567"/>
      <c r="N142" s="397"/>
      <c r="O142" s="13" t="s">
        <v>1103</v>
      </c>
      <c r="P142" s="181"/>
      <c r="Q142" s="120">
        <v>34</v>
      </c>
      <c r="R142" s="537"/>
      <c r="S142" s="538"/>
      <c r="T142" s="539"/>
      <c r="U142" s="98"/>
      <c r="V142" s="141"/>
      <c r="W142" s="141"/>
      <c r="X142" s="141"/>
      <c r="Y142" s="141"/>
      <c r="Z142" s="134"/>
      <c r="AA142" s="134"/>
      <c r="AB142" s="182"/>
      <c r="AC142" s="155"/>
      <c r="AD142" s="155"/>
    </row>
    <row r="143" spans="1:30" s="5" customFormat="1" ht="12.75" customHeight="1" outlineLevel="2" thickBot="1" x14ac:dyDescent="0.25">
      <c r="A143" s="44"/>
      <c r="B143" s="565"/>
      <c r="C143" s="381"/>
      <c r="D143" s="278" t="s">
        <v>1070</v>
      </c>
      <c r="E143" s="279"/>
      <c r="F143" s="282"/>
      <c r="G143" s="282"/>
      <c r="H143" s="120">
        <v>35</v>
      </c>
      <c r="I143" s="392"/>
      <c r="J143" s="393"/>
      <c r="K143" s="395"/>
      <c r="L143" s="261"/>
      <c r="M143" s="568"/>
      <c r="N143" s="398"/>
      <c r="O143" s="14" t="s">
        <v>1104</v>
      </c>
      <c r="P143" s="183"/>
      <c r="Q143" s="57">
        <v>35</v>
      </c>
      <c r="R143" s="526"/>
      <c r="S143" s="527"/>
      <c r="T143" s="528"/>
      <c r="U143" s="98"/>
      <c r="V143" s="141"/>
      <c r="W143" s="141"/>
      <c r="X143" s="141"/>
      <c r="Y143" s="141"/>
      <c r="Z143" s="134"/>
      <c r="AA143" s="134"/>
      <c r="AB143" s="134"/>
      <c r="AC143" s="155"/>
      <c r="AD143" s="155"/>
    </row>
    <row r="144" spans="1:30" s="5" customFormat="1" ht="12.75" customHeight="1" outlineLevel="2" x14ac:dyDescent="0.2">
      <c r="A144" s="44"/>
      <c r="B144" s="563"/>
      <c r="C144" s="381"/>
      <c r="D144" s="175" t="s">
        <v>1071</v>
      </c>
      <c r="E144" s="180"/>
      <c r="F144" s="177"/>
      <c r="G144" s="177"/>
      <c r="H144" s="120">
        <v>36</v>
      </c>
      <c r="I144" s="392"/>
      <c r="J144" s="393"/>
      <c r="K144" s="395"/>
      <c r="L144" s="261"/>
      <c r="M144" s="581"/>
      <c r="N144" s="396"/>
      <c r="O144" s="12" t="s">
        <v>1105</v>
      </c>
      <c r="P144" s="88"/>
      <c r="Q144" s="56">
        <v>36</v>
      </c>
      <c r="R144" s="534"/>
      <c r="S144" s="535"/>
      <c r="T144" s="536"/>
      <c r="U144" s="98"/>
      <c r="V144" s="141"/>
      <c r="W144" s="141"/>
      <c r="X144" s="141"/>
      <c r="Y144" s="141"/>
      <c r="Z144" s="134"/>
      <c r="AA144" s="134"/>
      <c r="AB144" s="182"/>
      <c r="AC144" s="155"/>
      <c r="AD144" s="155"/>
    </row>
    <row r="145" spans="1:30" s="5" customFormat="1" ht="12.75" customHeight="1" outlineLevel="2" x14ac:dyDescent="0.2">
      <c r="A145" s="44"/>
      <c r="B145" s="564"/>
      <c r="C145" s="381"/>
      <c r="D145" s="278" t="s">
        <v>1072</v>
      </c>
      <c r="E145" s="287"/>
      <c r="F145" s="177"/>
      <c r="G145" s="177"/>
      <c r="H145" s="120">
        <v>37</v>
      </c>
      <c r="I145" s="405"/>
      <c r="J145" s="393"/>
      <c r="K145" s="394"/>
      <c r="L145" s="261"/>
      <c r="M145" s="532"/>
      <c r="N145" s="397"/>
      <c r="O145" s="13" t="s">
        <v>1106</v>
      </c>
      <c r="P145" s="89"/>
      <c r="Q145" s="120">
        <v>37</v>
      </c>
      <c r="R145" s="389"/>
      <c r="S145" s="390"/>
      <c r="T145" s="391"/>
      <c r="U145" s="98"/>
      <c r="V145" s="141"/>
      <c r="W145" s="141"/>
      <c r="X145" s="141"/>
      <c r="Y145" s="141"/>
      <c r="Z145" s="134"/>
      <c r="AA145" s="134"/>
      <c r="AB145" s="134"/>
      <c r="AC145" s="155"/>
      <c r="AD145" s="155"/>
    </row>
    <row r="146" spans="1:30" s="5" customFormat="1" ht="12.75" customHeight="1" outlineLevel="2" x14ac:dyDescent="0.2">
      <c r="A146" s="44"/>
      <c r="B146" s="564"/>
      <c r="C146" s="381"/>
      <c r="D146" s="278" t="s">
        <v>1073</v>
      </c>
      <c r="E146" s="180"/>
      <c r="F146" s="177"/>
      <c r="G146" s="177"/>
      <c r="H146" s="120">
        <v>38</v>
      </c>
      <c r="I146" s="405"/>
      <c r="J146" s="393"/>
      <c r="K146" s="394"/>
      <c r="L146" s="261"/>
      <c r="M146" s="567"/>
      <c r="N146" s="397"/>
      <c r="O146" s="13" t="s">
        <v>1107</v>
      </c>
      <c r="P146" s="181"/>
      <c r="Q146" s="120">
        <v>38</v>
      </c>
      <c r="R146" s="537"/>
      <c r="S146" s="538"/>
      <c r="T146" s="539"/>
      <c r="U146" s="98"/>
      <c r="V146" s="141"/>
      <c r="W146" s="141"/>
      <c r="X146" s="141"/>
      <c r="Y146" s="141"/>
      <c r="Z146" s="134"/>
      <c r="AA146" s="134"/>
      <c r="AB146" s="182"/>
      <c r="AC146" s="155"/>
      <c r="AD146" s="155"/>
    </row>
    <row r="147" spans="1:30" s="5" customFormat="1" ht="12.75" customHeight="1" outlineLevel="2" thickBot="1" x14ac:dyDescent="0.25">
      <c r="A147" s="44"/>
      <c r="B147" s="565"/>
      <c r="C147" s="382"/>
      <c r="D147" s="70" t="s">
        <v>1074</v>
      </c>
      <c r="E147" s="121"/>
      <c r="F147" s="84"/>
      <c r="G147" s="84"/>
      <c r="H147" s="57">
        <v>39</v>
      </c>
      <c r="I147" s="399"/>
      <c r="J147" s="440"/>
      <c r="K147" s="401"/>
      <c r="L147" s="261"/>
      <c r="M147" s="568"/>
      <c r="N147" s="398"/>
      <c r="O147" s="314" t="s">
        <v>1108</v>
      </c>
      <c r="P147" s="183"/>
      <c r="Q147" s="57">
        <v>39</v>
      </c>
      <c r="R147" s="526"/>
      <c r="S147" s="527"/>
      <c r="T147" s="528"/>
      <c r="U147" s="98"/>
      <c r="V147" s="141"/>
      <c r="W147" s="141"/>
      <c r="X147" s="141"/>
      <c r="Y147" s="141"/>
      <c r="Z147" s="134"/>
      <c r="AA147" s="134"/>
      <c r="AB147" s="134"/>
      <c r="AC147" s="155"/>
      <c r="AD147" s="155"/>
    </row>
    <row r="148" spans="1:30" x14ac:dyDescent="0.2">
      <c r="A148" s="29"/>
      <c r="B148" s="53"/>
      <c r="C148" s="258"/>
      <c r="D148" s="592" t="s">
        <v>14</v>
      </c>
      <c r="E148" s="593"/>
      <c r="F148" s="593"/>
      <c r="G148" s="593"/>
      <c r="H148" s="594"/>
      <c r="I148" s="75">
        <f>IF(I150 &gt; 0,(I149/I150),0)</f>
        <v>6.0606060606060608E-2</v>
      </c>
      <c r="J148" s="60"/>
      <c r="K148" s="60"/>
      <c r="L148" s="142"/>
      <c r="M148" s="35"/>
      <c r="N148" s="35"/>
      <c r="O148" s="582" t="s">
        <v>15</v>
      </c>
      <c r="P148" s="583"/>
      <c r="Q148" s="584"/>
      <c r="R148" s="246">
        <f>IF(R150 &gt; 0,(R149/R150),0)</f>
        <v>0</v>
      </c>
      <c r="S148" s="190"/>
      <c r="T148" s="200"/>
      <c r="U148" s="200"/>
      <c r="Z148" s="99"/>
      <c r="AA148" s="99"/>
      <c r="AB148" s="99"/>
      <c r="AC148" s="36"/>
      <c r="AD148" s="36"/>
    </row>
    <row r="149" spans="1:30" x14ac:dyDescent="0.2">
      <c r="B149" s="258"/>
      <c r="C149" s="258"/>
      <c r="D149" s="586" t="s">
        <v>2</v>
      </c>
      <c r="E149" s="586"/>
      <c r="F149" s="586"/>
      <c r="G149" s="586"/>
      <c r="H149" s="586"/>
      <c r="I149" s="54">
        <f>COUNTIF(I108:I147,"Reserve")</f>
        <v>2</v>
      </c>
      <c r="J149" s="30"/>
      <c r="K149" s="30"/>
      <c r="L149" s="141"/>
      <c r="M149" s="48"/>
      <c r="N149" s="48"/>
      <c r="O149" s="585" t="s">
        <v>2</v>
      </c>
      <c r="P149" s="585"/>
      <c r="Q149" s="585"/>
      <c r="R149" s="59">
        <f>COUNTIF(R108:R147,"Reserve")</f>
        <v>0</v>
      </c>
      <c r="S149" s="201"/>
      <c r="T149" s="202"/>
      <c r="U149" s="202"/>
      <c r="Z149" s="99"/>
      <c r="AA149" s="99"/>
      <c r="AB149" s="99"/>
    </row>
    <row r="150" spans="1:30" x14ac:dyDescent="0.2">
      <c r="B150" s="258"/>
      <c r="C150" s="258"/>
      <c r="D150" s="587" t="s">
        <v>3</v>
      </c>
      <c r="E150" s="587"/>
      <c r="F150" s="587"/>
      <c r="G150" s="587"/>
      <c r="H150" s="587"/>
      <c r="I150" s="54">
        <f>COUNTA(I108:I147)</f>
        <v>33</v>
      </c>
      <c r="J150" s="30"/>
      <c r="K150" s="30"/>
      <c r="L150" s="141"/>
      <c r="M150" s="48"/>
      <c r="N150" s="48"/>
      <c r="O150" s="585" t="s">
        <v>3</v>
      </c>
      <c r="P150" s="585"/>
      <c r="Q150" s="585"/>
      <c r="R150" s="54">
        <f>COUNTA(R108:R147)</f>
        <v>5</v>
      </c>
      <c r="S150" s="201"/>
      <c r="T150" s="202"/>
      <c r="U150" s="202"/>
      <c r="V150" s="227" t="s">
        <v>639</v>
      </c>
      <c r="Z150" s="99"/>
      <c r="AA150" s="99"/>
      <c r="AB150" s="99"/>
    </row>
    <row r="151" spans="1:30" x14ac:dyDescent="0.2">
      <c r="B151" s="544" t="s">
        <v>13</v>
      </c>
      <c r="C151" s="545"/>
      <c r="D151" s="546"/>
      <c r="E151" s="542" t="s">
        <v>58</v>
      </c>
      <c r="F151" s="542"/>
      <c r="G151" s="542"/>
      <c r="H151" s="542"/>
      <c r="I151" s="542"/>
      <c r="J151" s="542"/>
      <c r="K151" s="542"/>
      <c r="L151" s="542"/>
      <c r="M151" s="542"/>
      <c r="N151" s="542"/>
      <c r="O151" s="542"/>
      <c r="P151" s="542"/>
      <c r="Q151" s="542"/>
      <c r="R151" s="542"/>
      <c r="S151" s="542"/>
      <c r="T151" s="542"/>
      <c r="U151" s="209"/>
      <c r="V151" s="214" t="s">
        <v>1039</v>
      </c>
      <c r="W151" s="144"/>
      <c r="X151" s="144"/>
      <c r="Y151" s="144"/>
      <c r="Z151" s="99"/>
      <c r="AA151" s="99"/>
      <c r="AB151" s="100"/>
    </row>
    <row r="152" spans="1:30" x14ac:dyDescent="0.2">
      <c r="B152" s="560"/>
      <c r="C152" s="561"/>
      <c r="D152" s="562"/>
      <c r="E152" s="542" t="s">
        <v>366</v>
      </c>
      <c r="F152" s="542"/>
      <c r="G152" s="542"/>
      <c r="H152" s="542"/>
      <c r="I152" s="542"/>
      <c r="J152" s="542"/>
      <c r="K152" s="542"/>
      <c r="L152" s="542"/>
      <c r="M152" s="542"/>
      <c r="N152" s="542"/>
      <c r="O152" s="542"/>
      <c r="P152" s="542"/>
      <c r="Q152" s="542"/>
      <c r="R152" s="542"/>
      <c r="S152" s="542"/>
      <c r="T152" s="542"/>
      <c r="U152" s="209"/>
      <c r="V152" s="215"/>
      <c r="W152" s="144"/>
      <c r="X152" s="144"/>
      <c r="Y152" s="144"/>
      <c r="Z152" s="99"/>
      <c r="AA152" s="99"/>
      <c r="AB152" s="99"/>
    </row>
    <row r="153" spans="1:30" x14ac:dyDescent="0.2">
      <c r="A153" s="19"/>
      <c r="B153" s="544" t="s">
        <v>23</v>
      </c>
      <c r="C153" s="545"/>
      <c r="D153" s="546"/>
      <c r="E153" s="553" t="s">
        <v>726</v>
      </c>
      <c r="F153" s="553"/>
      <c r="G153" s="553"/>
      <c r="H153" s="553"/>
      <c r="I153" s="553"/>
      <c r="J153" s="193" t="s">
        <v>647</v>
      </c>
      <c r="K153" s="321" t="s">
        <v>960</v>
      </c>
      <c r="L153" s="554" t="s">
        <v>911</v>
      </c>
      <c r="M153" s="554"/>
      <c r="N153" s="554"/>
      <c r="O153" s="554"/>
      <c r="P153" s="554"/>
      <c r="Q153" s="554"/>
      <c r="R153" s="554"/>
      <c r="S153" s="554"/>
      <c r="T153" s="554"/>
      <c r="U153" s="210"/>
      <c r="V153" s="215"/>
      <c r="W153" s="145"/>
      <c r="X153" s="145"/>
      <c r="Y153" s="145"/>
      <c r="Z153" s="99"/>
      <c r="AA153" s="99"/>
      <c r="AB153" s="99"/>
    </row>
    <row r="154" spans="1:30" x14ac:dyDescent="0.2">
      <c r="A154" s="19"/>
      <c r="B154" s="547"/>
      <c r="C154" s="548"/>
      <c r="D154" s="549"/>
      <c r="E154" s="553"/>
      <c r="F154" s="553"/>
      <c r="G154" s="553"/>
      <c r="H154" s="553"/>
      <c r="I154" s="553"/>
      <c r="J154" s="553"/>
      <c r="K154" s="557"/>
      <c r="L154" s="558"/>
      <c r="M154" s="558"/>
      <c r="N154" s="558"/>
      <c r="O154" s="558"/>
      <c r="P154" s="559"/>
      <c r="Q154" s="590" t="s">
        <v>612</v>
      </c>
      <c r="R154" s="591"/>
      <c r="S154" s="591"/>
      <c r="T154" s="251"/>
      <c r="U154" s="211"/>
      <c r="V154" s="199"/>
      <c r="W154" s="145"/>
      <c r="X154" s="145"/>
      <c r="Y154" s="145"/>
      <c r="Z154" s="115"/>
      <c r="AA154" s="115"/>
      <c r="AB154" s="115"/>
    </row>
    <row r="155" spans="1:30" x14ac:dyDescent="0.2">
      <c r="A155" s="19"/>
      <c r="B155" s="547"/>
      <c r="C155" s="548"/>
      <c r="D155" s="549"/>
      <c r="E155" s="553" t="s">
        <v>1156</v>
      </c>
      <c r="F155" s="553"/>
      <c r="G155" s="553"/>
      <c r="H155" s="553"/>
      <c r="I155" s="553"/>
      <c r="J155" s="553"/>
      <c r="K155" s="553" t="s">
        <v>1197</v>
      </c>
      <c r="L155" s="553"/>
      <c r="M155" s="553"/>
      <c r="N155" s="553"/>
      <c r="O155" s="553"/>
      <c r="P155" s="553"/>
      <c r="Q155" s="553"/>
      <c r="R155" s="553"/>
      <c r="S155" s="553"/>
      <c r="T155" s="553"/>
      <c r="U155" s="210"/>
      <c r="V155" s="145"/>
      <c r="W155" s="145"/>
      <c r="X155" s="145"/>
      <c r="Y155" s="145"/>
      <c r="Z155" s="115"/>
      <c r="AA155" s="115"/>
      <c r="AB155" s="115"/>
    </row>
    <row r="156" spans="1:30" x14ac:dyDescent="0.2">
      <c r="A156" s="19"/>
      <c r="B156" s="547"/>
      <c r="C156" s="548"/>
      <c r="D156" s="549"/>
      <c r="E156" s="553" t="s">
        <v>1120</v>
      </c>
      <c r="F156" s="553"/>
      <c r="G156" s="553"/>
      <c r="H156" s="553"/>
      <c r="I156" s="553"/>
      <c r="J156" s="553"/>
      <c r="K156" s="553" t="s">
        <v>1121</v>
      </c>
      <c r="L156" s="553"/>
      <c r="M156" s="553"/>
      <c r="N156" s="553"/>
      <c r="O156" s="553"/>
      <c r="P156" s="553"/>
      <c r="Q156" s="553"/>
      <c r="R156" s="553"/>
      <c r="S156" s="553"/>
      <c r="T156" s="553"/>
      <c r="U156" s="210"/>
      <c r="V156" s="145"/>
      <c r="W156" s="145"/>
      <c r="X156" s="145"/>
      <c r="Y156" s="145"/>
      <c r="Z156" s="115"/>
      <c r="AA156" s="115"/>
      <c r="AB156" s="115"/>
    </row>
    <row r="157" spans="1:30" outlineLevel="1" x14ac:dyDescent="0.2">
      <c r="A157" s="19"/>
      <c r="B157" s="547"/>
      <c r="C157" s="548"/>
      <c r="D157" s="549"/>
      <c r="E157" s="553"/>
      <c r="F157" s="553"/>
      <c r="G157" s="553"/>
      <c r="H157" s="553"/>
      <c r="I157" s="553"/>
      <c r="J157" s="553"/>
      <c r="K157" s="553"/>
      <c r="L157" s="553"/>
      <c r="M157" s="553"/>
      <c r="N157" s="553"/>
      <c r="O157" s="553"/>
      <c r="P157" s="553"/>
      <c r="Q157" s="553"/>
      <c r="R157" s="553"/>
      <c r="S157" s="553"/>
      <c r="T157" s="553"/>
      <c r="U157" s="210"/>
      <c r="V157" s="145"/>
      <c r="W157" s="145"/>
      <c r="X157" s="145"/>
      <c r="Y157" s="145"/>
      <c r="Z157" s="115"/>
      <c r="AA157" s="115"/>
      <c r="AB157" s="115"/>
    </row>
    <row r="158" spans="1:30" outlineLevel="1" x14ac:dyDescent="0.2">
      <c r="A158" s="19"/>
      <c r="B158" s="547"/>
      <c r="C158" s="548"/>
      <c r="D158" s="549"/>
      <c r="E158" s="566" t="s">
        <v>978</v>
      </c>
      <c r="F158" s="566"/>
      <c r="G158" s="566"/>
      <c r="H158" s="566"/>
      <c r="I158" s="566"/>
      <c r="J158" s="566"/>
      <c r="K158" s="553" t="s">
        <v>1119</v>
      </c>
      <c r="L158" s="553"/>
      <c r="M158" s="553"/>
      <c r="N158" s="553"/>
      <c r="O158" s="553"/>
      <c r="P158" s="553"/>
      <c r="Q158" s="553"/>
      <c r="R158" s="553"/>
      <c r="S158" s="553"/>
      <c r="T158" s="553"/>
      <c r="U158" s="210"/>
      <c r="V158" s="145"/>
      <c r="W158" s="145"/>
      <c r="X158" s="145"/>
      <c r="Y158" s="145"/>
      <c r="Z158" s="115"/>
      <c r="AA158" s="115"/>
      <c r="AB158" s="115"/>
    </row>
    <row r="159" spans="1:30" ht="162" customHeight="1" thickBot="1" x14ac:dyDescent="0.25">
      <c r="A159" s="19"/>
      <c r="B159" s="550"/>
      <c r="C159" s="551"/>
      <c r="D159" s="552"/>
      <c r="E159" s="569" t="s">
        <v>1169</v>
      </c>
      <c r="F159" s="570"/>
      <c r="G159" s="570"/>
      <c r="H159" s="570"/>
      <c r="I159" s="570"/>
      <c r="J159" s="570"/>
      <c r="K159" s="570"/>
      <c r="L159" s="570"/>
      <c r="M159" s="570"/>
      <c r="N159" s="570"/>
      <c r="O159" s="570"/>
      <c r="P159" s="570"/>
      <c r="Q159" s="570"/>
      <c r="R159" s="570"/>
      <c r="S159" s="570"/>
      <c r="T159" s="571"/>
      <c r="U159" s="210"/>
      <c r="V159" s="145"/>
      <c r="W159" s="145"/>
      <c r="X159" s="145"/>
      <c r="Y159" s="145"/>
      <c r="Z159" s="99"/>
      <c r="AA159" s="99"/>
      <c r="AB159" s="96"/>
    </row>
    <row r="160" spans="1:30" s="31" customFormat="1" outlineLevel="1" x14ac:dyDescent="0.2">
      <c r="B160" s="36"/>
      <c r="C160" s="36"/>
      <c r="D160" s="510"/>
      <c r="E160" s="510"/>
      <c r="F160" s="510"/>
      <c r="G160" s="510"/>
      <c r="H160" s="510"/>
      <c r="I160" s="36"/>
      <c r="J160" s="33"/>
      <c r="K160" s="33"/>
      <c r="L160" s="142"/>
      <c r="M160" s="36"/>
      <c r="N160" s="36"/>
      <c r="O160" s="514"/>
      <c r="P160" s="514"/>
      <c r="Q160" s="515"/>
      <c r="R160" s="33"/>
      <c r="S160" s="216"/>
      <c r="T160" s="216"/>
      <c r="U160" s="212"/>
      <c r="V160" s="142"/>
      <c r="W160" s="142"/>
      <c r="X160" s="142"/>
      <c r="Y160" s="142"/>
      <c r="Z160" s="99"/>
      <c r="AA160" s="99"/>
      <c r="AB160" s="96"/>
    </row>
    <row r="161" spans="1:28" x14ac:dyDescent="0.2">
      <c r="B161" s="540" t="s">
        <v>0</v>
      </c>
      <c r="C161" s="540"/>
      <c r="D161" s="540"/>
      <c r="E161" s="540"/>
      <c r="F161" s="540"/>
      <c r="G161" s="489" t="s">
        <v>51</v>
      </c>
      <c r="H161" s="446"/>
      <c r="I161" s="446"/>
      <c r="J161" s="446"/>
      <c r="K161" s="446"/>
      <c r="L161" s="446"/>
      <c r="M161" s="446"/>
      <c r="N161" s="446"/>
      <c r="O161" s="446"/>
      <c r="P161" s="446"/>
      <c r="Q161" s="446"/>
      <c r="R161" s="490"/>
      <c r="S161" s="217" t="s">
        <v>49</v>
      </c>
      <c r="T161" s="191"/>
      <c r="U161" s="186"/>
      <c r="Z161" s="99"/>
      <c r="AA161" s="96"/>
      <c r="AB161" s="96"/>
    </row>
    <row r="162" spans="1:28" x14ac:dyDescent="0.2">
      <c r="B162" s="540" t="s">
        <v>1</v>
      </c>
      <c r="C162" s="540"/>
      <c r="D162" s="540"/>
      <c r="E162" s="540"/>
      <c r="F162" s="540"/>
      <c r="G162" s="574" t="s">
        <v>1037</v>
      </c>
      <c r="H162" s="574"/>
      <c r="I162" s="574"/>
      <c r="J162" s="492" t="s">
        <v>1038</v>
      </c>
      <c r="K162" s="390"/>
      <c r="L162" s="390"/>
      <c r="M162" s="390"/>
      <c r="N162" s="390"/>
      <c r="O162" s="390"/>
      <c r="P162" s="390"/>
      <c r="Q162" s="390"/>
      <c r="R162" s="390"/>
      <c r="S162" s="217" t="s">
        <v>50</v>
      </c>
      <c r="T162" s="122">
        <v>44200</v>
      </c>
      <c r="U162" s="213"/>
      <c r="Z162" s="99"/>
      <c r="AA162" s="96"/>
      <c r="AB162" s="115"/>
    </row>
    <row r="163" spans="1:28" x14ac:dyDescent="0.2">
      <c r="B163" s="540" t="s">
        <v>55</v>
      </c>
      <c r="C163" s="540"/>
      <c r="D163" s="540"/>
      <c r="E163" s="540"/>
      <c r="F163" s="540"/>
      <c r="G163" s="493" t="s">
        <v>1087</v>
      </c>
      <c r="H163" s="393"/>
      <c r="I163" s="393"/>
      <c r="J163" s="393"/>
      <c r="K163" s="393"/>
      <c r="L163" s="393"/>
      <c r="M163" s="393"/>
      <c r="N163" s="393"/>
      <c r="O163" s="393"/>
      <c r="P163" s="393"/>
      <c r="Q163" s="393"/>
      <c r="R163" s="494"/>
      <c r="S163" s="217" t="s">
        <v>456</v>
      </c>
      <c r="T163" s="203" t="s">
        <v>363</v>
      </c>
      <c r="U163" s="212"/>
      <c r="Z163" s="99"/>
      <c r="AA163" s="96"/>
      <c r="AB163" s="36"/>
    </row>
    <row r="164" spans="1:28" x14ac:dyDescent="0.2">
      <c r="A164" s="258"/>
      <c r="B164" s="540" t="s">
        <v>724</v>
      </c>
      <c r="C164" s="540"/>
      <c r="D164" s="540"/>
      <c r="E164" s="540"/>
      <c r="F164" s="540"/>
      <c r="G164" s="491"/>
      <c r="H164" s="393"/>
      <c r="I164" s="393"/>
      <c r="J164" s="393"/>
      <c r="K164" s="495"/>
      <c r="L164" s="496"/>
      <c r="M164" s="497"/>
      <c r="N164" s="491"/>
      <c r="O164" s="393"/>
      <c r="P164" s="393"/>
      <c r="Q164" s="393"/>
      <c r="R164" s="494"/>
      <c r="S164" s="217" t="s">
        <v>134</v>
      </c>
      <c r="T164" s="122" t="s">
        <v>1229</v>
      </c>
      <c r="U164" s="213"/>
      <c r="V164" s="142" t="s">
        <v>54</v>
      </c>
      <c r="Z164" s="99"/>
      <c r="AA164" s="36"/>
    </row>
    <row r="165" spans="1:28" ht="15" x14ac:dyDescent="0.2">
      <c r="B165" s="258"/>
      <c r="C165" s="258"/>
      <c r="D165" s="556"/>
      <c r="E165" s="556"/>
      <c r="F165" s="556"/>
      <c r="G165" s="556"/>
      <c r="H165" s="556"/>
      <c r="I165" s="556"/>
      <c r="J165" s="543"/>
      <c r="K165" s="543"/>
      <c r="L165" s="543"/>
      <c r="M165" s="543"/>
      <c r="N165" s="543"/>
      <c r="O165" s="543"/>
      <c r="P165" s="543"/>
      <c r="Q165" s="543"/>
      <c r="R165" s="543"/>
      <c r="S165" s="543"/>
      <c r="T165" s="543"/>
      <c r="U165" s="188"/>
    </row>
    <row r="166" spans="1:28" ht="15" x14ac:dyDescent="0.2">
      <c r="A166" s="31"/>
      <c r="B166" s="555" t="s">
        <v>61</v>
      </c>
      <c r="C166" s="555"/>
      <c r="D166" s="555"/>
      <c r="E166" s="555"/>
      <c r="F166" s="573"/>
      <c r="G166" s="573"/>
      <c r="H166" s="573"/>
      <c r="I166" s="573"/>
      <c r="J166" s="573"/>
      <c r="K166" s="573"/>
      <c r="L166" s="573"/>
      <c r="M166" s="573"/>
      <c r="N166" s="573"/>
      <c r="O166" s="573"/>
      <c r="P166" s="573"/>
      <c r="Q166" s="573"/>
      <c r="R166" s="573"/>
      <c r="S166" s="573"/>
      <c r="T166" s="573"/>
      <c r="U166" s="187"/>
    </row>
    <row r="167" spans="1:28" x14ac:dyDescent="0.2">
      <c r="A167" s="36" t="s">
        <v>1168</v>
      </c>
      <c r="B167" s="502" t="s">
        <v>175</v>
      </c>
      <c r="C167" s="502"/>
      <c r="D167" s="502" t="s">
        <v>365</v>
      </c>
      <c r="E167" s="502"/>
      <c r="F167" s="502"/>
      <c r="G167" s="502"/>
      <c r="H167" s="502"/>
      <c r="I167" s="502"/>
      <c r="J167" s="502"/>
      <c r="K167" s="502"/>
      <c r="L167" s="502"/>
      <c r="M167" s="502"/>
      <c r="N167" s="502"/>
      <c r="O167" s="502"/>
      <c r="P167" s="502"/>
      <c r="Q167" s="502"/>
      <c r="R167" s="502"/>
      <c r="S167" s="502"/>
      <c r="T167" s="502"/>
      <c r="U167" s="184"/>
    </row>
    <row r="168" spans="1:28" ht="12.75" customHeight="1" x14ac:dyDescent="0.2">
      <c r="A168" s="36" t="s">
        <v>1168</v>
      </c>
      <c r="B168" s="502" t="s">
        <v>1147</v>
      </c>
      <c r="C168" s="502"/>
      <c r="D168" s="572" t="s">
        <v>1157</v>
      </c>
      <c r="E168" s="502"/>
      <c r="F168" s="502"/>
      <c r="G168" s="502"/>
      <c r="H168" s="502"/>
      <c r="I168" s="502"/>
      <c r="J168" s="502"/>
      <c r="K168" s="502"/>
      <c r="L168" s="502"/>
      <c r="M168" s="502"/>
      <c r="N168" s="502"/>
      <c r="O168" s="502"/>
      <c r="P168" s="502"/>
      <c r="Q168" s="502"/>
      <c r="R168" s="502"/>
      <c r="S168" s="502"/>
      <c r="T168" s="502"/>
      <c r="U168" s="184"/>
    </row>
    <row r="169" spans="1:28" x14ac:dyDescent="0.2">
      <c r="A169" s="36" t="s">
        <v>1168</v>
      </c>
      <c r="B169" s="502" t="s">
        <v>1170</v>
      </c>
      <c r="C169" s="502"/>
      <c r="D169" s="502" t="s">
        <v>1171</v>
      </c>
      <c r="E169" s="502"/>
      <c r="F169" s="502"/>
      <c r="G169" s="502"/>
      <c r="H169" s="502"/>
      <c r="I169" s="502"/>
      <c r="J169" s="502"/>
      <c r="K169" s="502"/>
      <c r="L169" s="502"/>
      <c r="M169" s="502"/>
      <c r="N169" s="502"/>
      <c r="O169" s="502"/>
      <c r="P169" s="502"/>
      <c r="Q169" s="502"/>
      <c r="R169" s="502"/>
      <c r="S169" s="502"/>
      <c r="T169" s="502"/>
      <c r="U169" s="184"/>
    </row>
    <row r="170" spans="1:28" x14ac:dyDescent="0.2">
      <c r="A170" s="36" t="s">
        <v>1168</v>
      </c>
      <c r="B170" s="509" t="s">
        <v>1178</v>
      </c>
      <c r="C170" s="509"/>
      <c r="D170" s="509" t="s">
        <v>1179</v>
      </c>
      <c r="E170" s="509"/>
      <c r="F170" s="509"/>
      <c r="G170" s="509"/>
      <c r="H170" s="509"/>
      <c r="I170" s="509"/>
      <c r="J170" s="509"/>
      <c r="K170" s="509"/>
      <c r="L170" s="509"/>
      <c r="M170" s="509"/>
      <c r="N170" s="509"/>
      <c r="O170" s="509"/>
      <c r="P170" s="509"/>
      <c r="Q170" s="509"/>
      <c r="R170" s="509"/>
      <c r="S170" s="509"/>
      <c r="T170" s="509"/>
      <c r="U170" s="184"/>
    </row>
    <row r="171" spans="1:28" x14ac:dyDescent="0.2">
      <c r="A171" s="36" t="s">
        <v>1168</v>
      </c>
      <c r="B171" s="509" t="s">
        <v>1191</v>
      </c>
      <c r="C171" s="509"/>
      <c r="D171" s="502" t="s">
        <v>1192</v>
      </c>
      <c r="E171" s="502"/>
      <c r="F171" s="502"/>
      <c r="G171" s="502"/>
      <c r="H171" s="502"/>
      <c r="I171" s="502"/>
      <c r="J171" s="502"/>
      <c r="K171" s="502"/>
      <c r="L171" s="502"/>
      <c r="M171" s="502"/>
      <c r="N171" s="502"/>
      <c r="O171" s="502"/>
      <c r="P171" s="502"/>
      <c r="Q171" s="502"/>
      <c r="R171" s="502"/>
      <c r="S171" s="502"/>
      <c r="T171" s="502"/>
      <c r="U171" s="184"/>
    </row>
    <row r="172" spans="1:28" x14ac:dyDescent="0.2">
      <c r="A172" s="36" t="s">
        <v>1168</v>
      </c>
      <c r="B172" s="509" t="s">
        <v>1193</v>
      </c>
      <c r="C172" s="509"/>
      <c r="D172" s="502" t="s">
        <v>1194</v>
      </c>
      <c r="E172" s="502"/>
      <c r="F172" s="502"/>
      <c r="G172" s="502"/>
      <c r="H172" s="502"/>
      <c r="I172" s="502"/>
      <c r="J172" s="502"/>
      <c r="K172" s="502"/>
      <c r="L172" s="502"/>
      <c r="M172" s="502"/>
      <c r="N172" s="502"/>
      <c r="O172" s="502"/>
      <c r="P172" s="502"/>
      <c r="Q172" s="502"/>
      <c r="R172" s="502"/>
      <c r="S172" s="502"/>
      <c r="T172" s="502"/>
      <c r="U172" s="184"/>
    </row>
    <row r="173" spans="1:28" x14ac:dyDescent="0.2">
      <c r="A173" s="36" t="s">
        <v>1168</v>
      </c>
      <c r="B173" s="509" t="s">
        <v>1195</v>
      </c>
      <c r="C173" s="509"/>
      <c r="D173" s="502" t="s">
        <v>1196</v>
      </c>
      <c r="E173" s="502"/>
      <c r="F173" s="502"/>
      <c r="G173" s="502"/>
      <c r="H173" s="502"/>
      <c r="I173" s="502"/>
      <c r="J173" s="502"/>
      <c r="K173" s="502"/>
      <c r="L173" s="502"/>
      <c r="M173" s="502"/>
      <c r="N173" s="502"/>
      <c r="O173" s="502"/>
      <c r="P173" s="502"/>
      <c r="Q173" s="502"/>
      <c r="R173" s="502"/>
      <c r="S173" s="502"/>
      <c r="T173" s="502"/>
      <c r="U173" s="184"/>
    </row>
    <row r="174" spans="1:28" x14ac:dyDescent="0.2">
      <c r="A174" s="31" t="s">
        <v>1168</v>
      </c>
      <c r="B174" s="363" t="s">
        <v>1199</v>
      </c>
      <c r="C174" s="363"/>
      <c r="D174" s="362" t="s">
        <v>1200</v>
      </c>
      <c r="E174" s="362"/>
      <c r="F174" s="362"/>
      <c r="G174" s="362"/>
      <c r="H174" s="362"/>
      <c r="I174" s="362"/>
      <c r="J174" s="362"/>
      <c r="K174" s="362"/>
      <c r="L174" s="362"/>
      <c r="M174" s="362"/>
      <c r="N174" s="362"/>
      <c r="O174" s="362"/>
      <c r="P174" s="362"/>
      <c r="Q174" s="362"/>
      <c r="R174" s="362"/>
      <c r="S174" s="362"/>
      <c r="T174" s="362"/>
      <c r="U174" s="184"/>
    </row>
    <row r="175" spans="1:28" x14ac:dyDescent="0.2">
      <c r="A175" s="36" t="s">
        <v>1168</v>
      </c>
      <c r="B175" s="525" t="s">
        <v>1203</v>
      </c>
      <c r="C175" s="525"/>
      <c r="D175" s="502" t="s">
        <v>1204</v>
      </c>
      <c r="E175" s="502"/>
      <c r="F175" s="502"/>
      <c r="G175" s="502"/>
      <c r="H175" s="502"/>
      <c r="I175" s="502"/>
      <c r="J175" s="502"/>
      <c r="K175" s="502"/>
      <c r="L175" s="502"/>
      <c r="M175" s="502"/>
      <c r="N175" s="502"/>
      <c r="O175" s="502"/>
      <c r="P175" s="502"/>
      <c r="Q175" s="502"/>
      <c r="R175" s="502"/>
      <c r="S175" s="502"/>
      <c r="T175" s="502"/>
      <c r="U175" s="184"/>
    </row>
    <row r="176" spans="1:28" x14ac:dyDescent="0.2">
      <c r="A176" s="36" t="s">
        <v>1168</v>
      </c>
      <c r="B176" s="541" t="s">
        <v>1229</v>
      </c>
      <c r="C176" s="541"/>
      <c r="D176" s="502" t="s">
        <v>1230</v>
      </c>
      <c r="E176" s="502"/>
      <c r="F176" s="502"/>
      <c r="G176" s="502"/>
      <c r="H176" s="502"/>
      <c r="I176" s="502"/>
      <c r="J176" s="502"/>
      <c r="K176" s="502"/>
      <c r="L176" s="502"/>
      <c r="M176" s="502"/>
      <c r="N176" s="502"/>
      <c r="O176" s="502"/>
      <c r="P176" s="502"/>
      <c r="Q176" s="502"/>
      <c r="R176" s="502"/>
      <c r="S176" s="502"/>
      <c r="T176" s="502"/>
      <c r="U176" s="184"/>
    </row>
    <row r="177" spans="1:21" x14ac:dyDescent="0.2">
      <c r="A177" s="31"/>
      <c r="B177" s="509"/>
      <c r="C177" s="509"/>
      <c r="D177" s="502"/>
      <c r="E177" s="502"/>
      <c r="F177" s="502"/>
      <c r="G177" s="502"/>
      <c r="H177" s="502"/>
      <c r="I177" s="502"/>
      <c r="J177" s="502"/>
      <c r="K177" s="502"/>
      <c r="L177" s="502"/>
      <c r="M177" s="502"/>
      <c r="N177" s="502"/>
      <c r="O177" s="502"/>
      <c r="P177" s="502"/>
      <c r="Q177" s="502"/>
      <c r="R177" s="502"/>
      <c r="S177" s="502"/>
      <c r="T177" s="502"/>
      <c r="U177" s="184"/>
    </row>
    <row r="178" spans="1:21" x14ac:dyDescent="0.2">
      <c r="A178" s="31"/>
      <c r="B178" s="509"/>
      <c r="C178" s="509"/>
      <c r="D178" s="502"/>
      <c r="E178" s="502"/>
      <c r="F178" s="502"/>
      <c r="G178" s="502"/>
      <c r="H178" s="502"/>
      <c r="I178" s="502"/>
      <c r="J178" s="502"/>
      <c r="K178" s="502"/>
      <c r="L178" s="502"/>
      <c r="M178" s="502"/>
      <c r="N178" s="502"/>
      <c r="O178" s="502"/>
      <c r="P178" s="502"/>
      <c r="Q178" s="502"/>
      <c r="R178" s="502"/>
      <c r="S178" s="502"/>
      <c r="T178" s="502"/>
      <c r="U178" s="184"/>
    </row>
    <row r="179" spans="1:21" x14ac:dyDescent="0.2">
      <c r="A179" s="31"/>
      <c r="B179" s="509"/>
      <c r="C179" s="509"/>
      <c r="D179" s="502"/>
      <c r="E179" s="502"/>
      <c r="F179" s="502"/>
      <c r="G179" s="502"/>
      <c r="H179" s="502"/>
      <c r="I179" s="502"/>
      <c r="J179" s="502"/>
      <c r="K179" s="502"/>
      <c r="L179" s="502"/>
      <c r="M179" s="502"/>
      <c r="N179" s="502"/>
      <c r="O179" s="502"/>
      <c r="P179" s="502"/>
      <c r="Q179" s="502"/>
      <c r="R179" s="502"/>
      <c r="S179" s="502"/>
      <c r="T179" s="502"/>
      <c r="U179" s="184"/>
    </row>
    <row r="180" spans="1:21" x14ac:dyDescent="0.2">
      <c r="A180" s="31"/>
      <c r="B180" s="509"/>
      <c r="C180" s="509"/>
      <c r="D180" s="502"/>
      <c r="E180" s="502"/>
      <c r="F180" s="502"/>
      <c r="G180" s="502"/>
      <c r="H180" s="502"/>
      <c r="I180" s="502"/>
      <c r="J180" s="502"/>
      <c r="K180" s="502"/>
      <c r="L180" s="502"/>
      <c r="M180" s="502"/>
      <c r="N180" s="502"/>
      <c r="O180" s="502"/>
      <c r="P180" s="502"/>
      <c r="Q180" s="502"/>
      <c r="R180" s="502"/>
      <c r="S180" s="502"/>
      <c r="T180" s="502"/>
      <c r="U180" s="184"/>
    </row>
    <row r="181" spans="1:21" x14ac:dyDescent="0.2">
      <c r="A181" s="31"/>
      <c r="B181" s="509"/>
      <c r="C181" s="509"/>
      <c r="D181" s="502"/>
      <c r="E181" s="502"/>
      <c r="F181" s="502"/>
      <c r="G181" s="502"/>
      <c r="H181" s="502"/>
      <c r="I181" s="502"/>
      <c r="J181" s="502"/>
      <c r="K181" s="502"/>
      <c r="L181" s="502"/>
      <c r="M181" s="502"/>
      <c r="N181" s="502"/>
      <c r="O181" s="502"/>
      <c r="P181" s="502"/>
      <c r="Q181" s="502"/>
      <c r="R181" s="502"/>
      <c r="S181" s="502"/>
      <c r="T181" s="502"/>
      <c r="U181" s="184"/>
    </row>
    <row r="182" spans="1:21" x14ac:dyDescent="0.2">
      <c r="A182" s="31"/>
      <c r="B182" s="509"/>
      <c r="C182" s="509"/>
      <c r="D182" s="502"/>
      <c r="E182" s="502"/>
      <c r="F182" s="502"/>
      <c r="G182" s="502"/>
      <c r="H182" s="502"/>
      <c r="I182" s="502"/>
      <c r="J182" s="502"/>
      <c r="K182" s="502"/>
      <c r="L182" s="502"/>
      <c r="M182" s="502"/>
      <c r="N182" s="502"/>
      <c r="O182" s="502"/>
      <c r="P182" s="502"/>
      <c r="Q182" s="502"/>
      <c r="R182" s="502"/>
      <c r="S182" s="502"/>
      <c r="T182" s="502"/>
      <c r="U182" s="184"/>
    </row>
    <row r="183" spans="1:21" x14ac:dyDescent="0.2">
      <c r="A183" s="31"/>
      <c r="B183" s="509"/>
      <c r="C183" s="509"/>
      <c r="D183" s="502"/>
      <c r="E183" s="502"/>
      <c r="F183" s="502"/>
      <c r="G183" s="502"/>
      <c r="H183" s="502"/>
      <c r="I183" s="502"/>
      <c r="J183" s="502"/>
      <c r="K183" s="502"/>
      <c r="L183" s="502"/>
      <c r="M183" s="502"/>
      <c r="N183" s="502"/>
      <c r="O183" s="502"/>
      <c r="P183" s="502"/>
      <c r="Q183" s="502"/>
      <c r="R183" s="502"/>
      <c r="S183" s="502"/>
      <c r="T183" s="502"/>
      <c r="U183" s="184"/>
    </row>
    <row r="184" spans="1:21" x14ac:dyDescent="0.2">
      <c r="A184" s="31"/>
      <c r="B184" s="295"/>
      <c r="C184" s="295"/>
      <c r="D184" s="295"/>
      <c r="E184" s="295"/>
      <c r="F184" s="295"/>
      <c r="G184" s="295"/>
      <c r="H184" s="295"/>
      <c r="I184" s="36"/>
      <c r="J184" s="33"/>
      <c r="K184" s="33"/>
      <c r="L184" s="142"/>
      <c r="M184" s="295"/>
      <c r="N184" s="295"/>
      <c r="O184" s="292"/>
      <c r="P184" s="295"/>
      <c r="Q184" s="295"/>
      <c r="R184" s="259"/>
      <c r="S184" s="259"/>
      <c r="T184" s="259"/>
      <c r="U184" s="34"/>
    </row>
    <row r="185" spans="1:21" x14ac:dyDescent="0.2">
      <c r="A185" s="31"/>
      <c r="B185" s="295"/>
      <c r="C185" s="295"/>
      <c r="D185" s="295"/>
      <c r="E185" s="295"/>
      <c r="F185" s="295"/>
      <c r="G185" s="295"/>
      <c r="H185" s="295"/>
      <c r="I185" s="36"/>
      <c r="J185" s="33"/>
      <c r="K185" s="33"/>
      <c r="L185" s="142"/>
      <c r="M185" s="295"/>
      <c r="N185" s="295"/>
      <c r="O185" s="292"/>
      <c r="P185" s="295"/>
      <c r="Q185" s="295"/>
      <c r="R185" s="259"/>
      <c r="S185" s="259"/>
      <c r="T185" s="259"/>
      <c r="U185" s="34"/>
    </row>
    <row r="186" spans="1:21" x14ac:dyDescent="0.2">
      <c r="A186" s="31"/>
      <c r="B186" s="295"/>
      <c r="C186" s="295"/>
      <c r="D186" s="295"/>
      <c r="E186" s="295"/>
      <c r="F186" s="295"/>
      <c r="G186" s="295"/>
      <c r="H186" s="295"/>
      <c r="I186" s="36"/>
      <c r="J186" s="33"/>
      <c r="K186" s="33"/>
      <c r="L186" s="142"/>
      <c r="M186" s="295"/>
      <c r="N186" s="295"/>
      <c r="O186" s="292"/>
      <c r="P186" s="295"/>
      <c r="Q186" s="295"/>
      <c r="R186" s="259"/>
      <c r="S186" s="259"/>
      <c r="T186" s="259"/>
      <c r="U186" s="34"/>
    </row>
    <row r="187" spans="1:21" x14ac:dyDescent="0.2">
      <c r="A187" s="31"/>
      <c r="B187" s="295"/>
      <c r="C187" s="295"/>
      <c r="D187" s="295"/>
      <c r="E187" s="295"/>
      <c r="F187" s="295"/>
      <c r="G187" s="295"/>
      <c r="H187" s="295"/>
      <c r="I187" s="36"/>
      <c r="J187" s="33"/>
      <c r="K187" s="33"/>
      <c r="L187" s="142"/>
      <c r="M187" s="295"/>
      <c r="N187" s="295"/>
      <c r="O187" s="292"/>
      <c r="P187" s="295"/>
      <c r="Q187" s="295"/>
      <c r="R187" s="259"/>
      <c r="S187" s="259"/>
      <c r="T187" s="259"/>
      <c r="U187" s="34"/>
    </row>
    <row r="188" spans="1:21" x14ac:dyDescent="0.2">
      <c r="A188" s="31"/>
      <c r="B188" s="295"/>
      <c r="C188" s="295"/>
      <c r="D188" s="295"/>
      <c r="E188" s="295"/>
      <c r="F188" s="295"/>
      <c r="G188" s="295"/>
      <c r="H188" s="295"/>
      <c r="I188" s="36"/>
      <c r="J188" s="33"/>
      <c r="K188" s="33"/>
      <c r="L188" s="142"/>
      <c r="M188" s="295"/>
      <c r="N188" s="295"/>
      <c r="O188" s="292"/>
      <c r="P188" s="295"/>
      <c r="Q188" s="295"/>
      <c r="R188" s="259"/>
      <c r="S188" s="259"/>
      <c r="T188" s="259"/>
      <c r="U188" s="34"/>
    </row>
    <row r="189" spans="1:21" x14ac:dyDescent="0.2">
      <c r="A189" s="31"/>
      <c r="B189" s="295"/>
      <c r="C189" s="295"/>
      <c r="D189" s="295"/>
      <c r="E189" s="295"/>
      <c r="F189" s="295"/>
      <c r="G189" s="295"/>
      <c r="H189" s="295"/>
      <c r="I189" s="36"/>
      <c r="J189" s="33"/>
      <c r="K189" s="33"/>
      <c r="L189" s="142"/>
      <c r="M189" s="295"/>
      <c r="N189" s="295"/>
      <c r="O189" s="292"/>
      <c r="P189" s="295"/>
      <c r="Q189" s="295"/>
      <c r="R189" s="259"/>
      <c r="S189" s="259"/>
      <c r="T189" s="259"/>
      <c r="U189" s="34"/>
    </row>
    <row r="190" spans="1:21" x14ac:dyDescent="0.2">
      <c r="A190" s="31"/>
      <c r="B190" s="295"/>
      <c r="C190" s="295"/>
      <c r="D190" s="295"/>
      <c r="E190" s="295"/>
      <c r="F190" s="295"/>
      <c r="G190" s="295"/>
      <c r="H190" s="295"/>
      <c r="I190" s="36"/>
      <c r="J190" s="33"/>
      <c r="K190" s="33"/>
      <c r="L190" s="142"/>
      <c r="M190" s="295"/>
      <c r="N190" s="295"/>
      <c r="O190" s="292"/>
      <c r="P190" s="295"/>
      <c r="Q190" s="295"/>
      <c r="R190" s="259"/>
      <c r="S190" s="259"/>
      <c r="T190" s="259"/>
      <c r="U190" s="34"/>
    </row>
    <row r="191" spans="1:21" x14ac:dyDescent="0.2">
      <c r="A191" s="31"/>
      <c r="B191" s="295"/>
      <c r="C191" s="295"/>
      <c r="D191" s="295"/>
      <c r="E191" s="295"/>
      <c r="F191" s="295"/>
      <c r="G191" s="295"/>
      <c r="H191" s="295"/>
      <c r="I191" s="36"/>
      <c r="J191" s="33"/>
      <c r="K191" s="33"/>
      <c r="L191" s="142"/>
      <c r="M191" s="295"/>
      <c r="N191" s="295"/>
      <c r="O191" s="292"/>
      <c r="P191" s="295"/>
      <c r="Q191" s="295"/>
      <c r="R191" s="259"/>
      <c r="S191" s="259"/>
      <c r="T191" s="259"/>
      <c r="U191" s="34"/>
    </row>
    <row r="192" spans="1:21" x14ac:dyDescent="0.2">
      <c r="A192" s="31"/>
      <c r="B192" s="295"/>
      <c r="C192" s="295"/>
      <c r="D192" s="295"/>
      <c r="E192" s="295"/>
      <c r="F192" s="295"/>
      <c r="G192" s="295"/>
      <c r="H192" s="295"/>
      <c r="I192" s="36"/>
      <c r="J192" s="33"/>
      <c r="K192" s="33"/>
      <c r="L192" s="142"/>
      <c r="M192" s="295"/>
      <c r="N192" s="295"/>
      <c r="O192" s="292"/>
      <c r="P192" s="295"/>
      <c r="Q192" s="295"/>
      <c r="R192" s="259"/>
      <c r="S192" s="259"/>
      <c r="T192" s="259"/>
      <c r="U192" s="34"/>
    </row>
    <row r="193" spans="1:21" x14ac:dyDescent="0.2">
      <c r="A193" s="31"/>
      <c r="B193" s="295"/>
      <c r="C193" s="295"/>
      <c r="D193" s="295"/>
      <c r="E193" s="295"/>
      <c r="F193" s="295"/>
      <c r="G193" s="295"/>
      <c r="H193" s="295"/>
      <c r="I193" s="36"/>
      <c r="J193" s="33"/>
      <c r="K193" s="33"/>
      <c r="L193" s="142"/>
      <c r="M193" s="295"/>
      <c r="N193" s="295"/>
      <c r="O193" s="292"/>
      <c r="P193" s="295"/>
      <c r="Q193" s="295"/>
      <c r="R193" s="259"/>
      <c r="S193" s="259"/>
      <c r="T193" s="259"/>
      <c r="U193" s="34"/>
    </row>
    <row r="194" spans="1:21" x14ac:dyDescent="0.2">
      <c r="A194" s="31"/>
      <c r="B194" s="295"/>
      <c r="C194" s="295"/>
      <c r="D194" s="295"/>
      <c r="E194" s="295"/>
      <c r="F194" s="295"/>
      <c r="G194" s="295"/>
      <c r="H194" s="295"/>
      <c r="I194" s="36"/>
      <c r="J194" s="33"/>
      <c r="K194" s="33"/>
      <c r="L194" s="142"/>
      <c r="M194" s="295"/>
      <c r="N194" s="295"/>
      <c r="O194" s="292"/>
      <c r="P194" s="295"/>
      <c r="Q194" s="295"/>
      <c r="R194" s="259"/>
      <c r="S194" s="259"/>
      <c r="T194" s="259"/>
      <c r="U194" s="34"/>
    </row>
    <row r="195" spans="1:21" x14ac:dyDescent="0.2">
      <c r="A195" s="31"/>
      <c r="B195" s="295"/>
      <c r="C195" s="295"/>
      <c r="D195" s="295"/>
      <c r="E195" s="295"/>
      <c r="F195" s="295"/>
      <c r="G195" s="295"/>
      <c r="H195" s="295"/>
      <c r="I195" s="36"/>
      <c r="J195" s="33"/>
      <c r="K195" s="33"/>
      <c r="L195" s="142"/>
      <c r="M195" s="295"/>
      <c r="N195" s="295"/>
      <c r="O195" s="292"/>
      <c r="P195" s="295"/>
      <c r="Q195" s="295"/>
      <c r="R195" s="259"/>
      <c r="S195" s="259"/>
      <c r="T195" s="259"/>
      <c r="U195" s="34"/>
    </row>
    <row r="196" spans="1:21" x14ac:dyDescent="0.2">
      <c r="A196" s="31"/>
      <c r="B196" s="295"/>
      <c r="C196" s="295"/>
      <c r="D196" s="295"/>
      <c r="E196" s="295"/>
      <c r="F196" s="295"/>
      <c r="G196" s="295"/>
      <c r="H196" s="295"/>
      <c r="I196" s="36"/>
      <c r="J196" s="33"/>
      <c r="K196" s="33"/>
      <c r="L196" s="142"/>
      <c r="M196" s="295"/>
      <c r="N196" s="295"/>
      <c r="O196" s="292"/>
      <c r="P196" s="295"/>
      <c r="Q196" s="295"/>
      <c r="R196" s="259"/>
      <c r="S196" s="259"/>
      <c r="T196" s="259"/>
      <c r="U196" s="34"/>
    </row>
    <row r="197" spans="1:21" x14ac:dyDescent="0.2">
      <c r="A197" s="31"/>
      <c r="B197" s="295"/>
      <c r="C197" s="295"/>
      <c r="D197" s="295"/>
      <c r="E197" s="295"/>
      <c r="F197" s="295"/>
      <c r="G197" s="295"/>
      <c r="H197" s="295"/>
      <c r="I197" s="36"/>
      <c r="J197" s="33"/>
      <c r="K197" s="33"/>
      <c r="L197" s="142"/>
      <c r="M197" s="295"/>
      <c r="N197" s="295"/>
      <c r="O197" s="292"/>
      <c r="P197" s="295"/>
      <c r="Q197" s="295"/>
      <c r="R197" s="259"/>
      <c r="S197" s="259"/>
      <c r="T197" s="259"/>
      <c r="U197" s="34"/>
    </row>
    <row r="198" spans="1:21" x14ac:dyDescent="0.2">
      <c r="A198" s="31"/>
      <c r="B198" s="295"/>
      <c r="C198" s="295"/>
      <c r="D198" s="295"/>
      <c r="E198" s="295"/>
      <c r="F198" s="295"/>
      <c r="G198" s="295"/>
      <c r="H198" s="295"/>
      <c r="I198" s="36"/>
      <c r="J198" s="33"/>
      <c r="K198" s="33"/>
      <c r="L198" s="142"/>
      <c r="M198" s="295"/>
      <c r="N198" s="295"/>
      <c r="O198" s="292"/>
      <c r="P198" s="295"/>
      <c r="Q198" s="295"/>
      <c r="R198" s="259"/>
      <c r="S198" s="259"/>
      <c r="T198" s="259"/>
      <c r="U198" s="34"/>
    </row>
    <row r="199" spans="1:21" x14ac:dyDescent="0.2">
      <c r="A199" s="31"/>
      <c r="B199" s="295"/>
      <c r="C199" s="295"/>
      <c r="D199" s="295"/>
      <c r="E199" s="295"/>
      <c r="F199" s="295"/>
      <c r="G199" s="295"/>
      <c r="H199" s="295"/>
      <c r="I199" s="36"/>
      <c r="J199" s="33"/>
      <c r="K199" s="33"/>
      <c r="L199" s="142"/>
      <c r="M199" s="295"/>
      <c r="N199" s="295"/>
      <c r="O199" s="292"/>
      <c r="P199" s="295"/>
      <c r="Q199" s="295"/>
      <c r="R199" s="259"/>
      <c r="S199" s="259"/>
      <c r="T199" s="259"/>
      <c r="U199" s="34"/>
    </row>
    <row r="200" spans="1:21" x14ac:dyDescent="0.2">
      <c r="A200" s="31"/>
      <c r="B200" s="295"/>
      <c r="C200" s="295"/>
      <c r="D200" s="295"/>
      <c r="E200" s="295"/>
      <c r="F200" s="295"/>
      <c r="G200" s="295"/>
      <c r="H200" s="295"/>
      <c r="I200" s="36"/>
      <c r="J200" s="33"/>
      <c r="K200" s="33"/>
      <c r="L200" s="142"/>
      <c r="M200" s="295"/>
      <c r="N200" s="295"/>
      <c r="O200" s="292"/>
      <c r="P200" s="295"/>
      <c r="Q200" s="295"/>
      <c r="R200" s="259"/>
      <c r="S200" s="259"/>
      <c r="T200" s="259"/>
      <c r="U200" s="34"/>
    </row>
    <row r="201" spans="1:21" x14ac:dyDescent="0.2">
      <c r="A201" s="31"/>
      <c r="B201" s="295"/>
      <c r="C201" s="295"/>
      <c r="D201" s="295"/>
      <c r="E201" s="295"/>
      <c r="F201" s="295"/>
      <c r="G201" s="295"/>
      <c r="H201" s="295"/>
      <c r="I201" s="36"/>
      <c r="J201" s="33"/>
      <c r="K201" s="33"/>
      <c r="L201" s="142"/>
      <c r="M201" s="295"/>
      <c r="N201" s="295"/>
      <c r="O201" s="292"/>
      <c r="P201" s="295"/>
      <c r="Q201" s="295"/>
      <c r="R201" s="259"/>
      <c r="S201" s="259"/>
      <c r="T201" s="259"/>
      <c r="U201" s="34"/>
    </row>
    <row r="202" spans="1:21" x14ac:dyDescent="0.2">
      <c r="A202" s="31"/>
      <c r="B202" s="295"/>
      <c r="C202" s="295"/>
      <c r="D202" s="295"/>
      <c r="E202" s="295"/>
      <c r="F202" s="295"/>
      <c r="G202" s="295"/>
      <c r="H202" s="295"/>
      <c r="I202" s="36"/>
      <c r="J202" s="33"/>
      <c r="K202" s="33"/>
      <c r="L202" s="142"/>
      <c r="M202" s="295"/>
      <c r="N202" s="295"/>
      <c r="O202" s="292"/>
      <c r="P202" s="295"/>
      <c r="Q202" s="295"/>
      <c r="R202" s="259"/>
      <c r="S202" s="259"/>
      <c r="T202" s="259"/>
      <c r="U202" s="34"/>
    </row>
    <row r="203" spans="1:21" x14ac:dyDescent="0.2">
      <c r="A203" s="31"/>
      <c r="B203" s="295"/>
      <c r="C203" s="295"/>
      <c r="D203" s="295"/>
      <c r="E203" s="295"/>
      <c r="F203" s="295"/>
      <c r="G203" s="295"/>
      <c r="H203" s="295"/>
      <c r="I203" s="36"/>
      <c r="J203" s="33"/>
      <c r="K203" s="33"/>
      <c r="L203" s="142"/>
      <c r="M203" s="295"/>
      <c r="N203" s="295"/>
      <c r="O203" s="292"/>
      <c r="P203" s="295"/>
      <c r="Q203" s="295"/>
      <c r="R203" s="259"/>
      <c r="S203" s="259"/>
      <c r="T203" s="259"/>
      <c r="U203" s="34"/>
    </row>
    <row r="204" spans="1:21" x14ac:dyDescent="0.2">
      <c r="A204" s="31"/>
      <c r="B204" s="295"/>
      <c r="C204" s="295"/>
      <c r="D204" s="295"/>
      <c r="E204" s="295"/>
      <c r="F204" s="295"/>
      <c r="G204" s="295"/>
      <c r="H204" s="295"/>
      <c r="I204" s="36"/>
      <c r="J204" s="33"/>
      <c r="K204" s="33"/>
      <c r="L204" s="142"/>
      <c r="M204" s="295"/>
      <c r="N204" s="295"/>
      <c r="O204" s="292"/>
      <c r="P204" s="295"/>
      <c r="Q204" s="295"/>
      <c r="R204" s="259"/>
      <c r="S204" s="259"/>
      <c r="T204" s="259"/>
      <c r="U204" s="34"/>
    </row>
    <row r="205" spans="1:21" x14ac:dyDescent="0.2">
      <c r="A205" s="31"/>
      <c r="B205" s="295"/>
      <c r="C205" s="295"/>
      <c r="D205" s="295"/>
      <c r="E205" s="295"/>
      <c r="F205" s="295"/>
      <c r="G205" s="295"/>
      <c r="H205" s="295"/>
      <c r="I205" s="36"/>
      <c r="J205" s="33"/>
      <c r="K205" s="33"/>
      <c r="L205" s="142"/>
      <c r="M205" s="295"/>
      <c r="N205" s="295"/>
      <c r="O205" s="292"/>
      <c r="P205" s="295"/>
      <c r="Q205" s="295"/>
      <c r="R205" s="259"/>
      <c r="S205" s="259"/>
      <c r="T205" s="259"/>
      <c r="U205" s="34"/>
    </row>
    <row r="206" spans="1:21" x14ac:dyDescent="0.2">
      <c r="A206" s="31"/>
      <c r="B206" s="295"/>
      <c r="C206" s="295"/>
      <c r="D206" s="295"/>
      <c r="E206" s="295"/>
      <c r="F206" s="295"/>
      <c r="G206" s="295"/>
      <c r="H206" s="295"/>
      <c r="I206" s="36"/>
      <c r="J206" s="33"/>
      <c r="K206" s="33"/>
      <c r="L206" s="142"/>
      <c r="M206" s="295"/>
      <c r="N206" s="295"/>
      <c r="O206" s="292"/>
      <c r="P206" s="295"/>
      <c r="Q206" s="295"/>
      <c r="R206" s="259"/>
      <c r="S206" s="259"/>
      <c r="T206" s="259"/>
      <c r="U206" s="34"/>
    </row>
    <row r="207" spans="1:21" x14ac:dyDescent="0.2">
      <c r="A207" s="31"/>
      <c r="B207" s="295"/>
      <c r="C207" s="295"/>
      <c r="D207" s="295"/>
      <c r="E207" s="295"/>
      <c r="F207" s="295"/>
      <c r="G207" s="295"/>
      <c r="H207" s="295"/>
      <c r="I207" s="36"/>
      <c r="J207" s="33"/>
      <c r="K207" s="33"/>
      <c r="L207" s="142"/>
      <c r="M207" s="295"/>
      <c r="N207" s="295"/>
      <c r="O207" s="292"/>
      <c r="P207" s="295"/>
      <c r="Q207" s="295"/>
      <c r="R207" s="259"/>
      <c r="S207" s="259"/>
      <c r="T207" s="259"/>
      <c r="U207" s="34"/>
    </row>
    <row r="208" spans="1:21" x14ac:dyDescent="0.2">
      <c r="A208" s="31"/>
      <c r="B208" s="295"/>
      <c r="C208" s="295"/>
      <c r="D208" s="295"/>
      <c r="E208" s="295"/>
      <c r="F208" s="295"/>
      <c r="G208" s="295"/>
      <c r="H208" s="295"/>
      <c r="I208" s="36"/>
      <c r="J208" s="33"/>
      <c r="K208" s="33"/>
      <c r="L208" s="142"/>
      <c r="M208" s="295"/>
      <c r="N208" s="295"/>
      <c r="O208" s="292"/>
      <c r="P208" s="295"/>
      <c r="Q208" s="295"/>
      <c r="R208" s="259"/>
      <c r="S208" s="259"/>
      <c r="T208" s="259"/>
      <c r="U208" s="34"/>
    </row>
    <row r="209" spans="1:21" x14ac:dyDescent="0.2">
      <c r="A209" s="31"/>
      <c r="B209" s="295"/>
      <c r="C209" s="295"/>
      <c r="D209" s="295"/>
      <c r="E209" s="295"/>
      <c r="F209" s="295"/>
      <c r="G209" s="295"/>
      <c r="H209" s="295"/>
      <c r="I209" s="36"/>
      <c r="J209" s="33"/>
      <c r="K209" s="33"/>
      <c r="L209" s="142"/>
      <c r="M209" s="295"/>
      <c r="N209" s="295"/>
      <c r="O209" s="292"/>
      <c r="P209" s="295"/>
      <c r="Q209" s="295"/>
      <c r="R209" s="259"/>
      <c r="S209" s="259"/>
      <c r="T209" s="259"/>
      <c r="U209" s="34"/>
    </row>
    <row r="210" spans="1:21" x14ac:dyDescent="0.2">
      <c r="A210" s="31"/>
      <c r="B210" s="295"/>
      <c r="C210" s="295"/>
      <c r="D210" s="295"/>
      <c r="E210" s="295"/>
      <c r="F210" s="295"/>
      <c r="G210" s="295"/>
      <c r="H210" s="295"/>
      <c r="I210" s="36"/>
      <c r="J210" s="33"/>
      <c r="K210" s="33"/>
      <c r="L210" s="142"/>
      <c r="M210" s="295"/>
      <c r="N210" s="295"/>
      <c r="O210" s="292"/>
      <c r="P210" s="295"/>
      <c r="Q210" s="295"/>
      <c r="R210" s="259"/>
      <c r="S210" s="259"/>
      <c r="T210" s="259"/>
      <c r="U210" s="34"/>
    </row>
    <row r="211" spans="1:21" x14ac:dyDescent="0.2">
      <c r="A211" s="31"/>
      <c r="B211" s="295"/>
      <c r="C211" s="295"/>
      <c r="D211" s="295"/>
      <c r="E211" s="295"/>
      <c r="F211" s="295"/>
      <c r="G211" s="295"/>
      <c r="H211" s="295"/>
      <c r="I211" s="36"/>
      <c r="J211" s="33"/>
      <c r="K211" s="33"/>
      <c r="L211" s="142"/>
      <c r="M211" s="295"/>
      <c r="N211" s="295"/>
      <c r="O211" s="292"/>
      <c r="P211" s="295"/>
      <c r="Q211" s="295"/>
      <c r="R211" s="259"/>
      <c r="S211" s="259"/>
      <c r="T211" s="259"/>
      <c r="U211" s="34"/>
    </row>
    <row r="212" spans="1:21" x14ac:dyDescent="0.2">
      <c r="A212" s="31"/>
      <c r="B212" s="295"/>
      <c r="C212" s="295"/>
      <c r="D212" s="295"/>
      <c r="E212" s="295"/>
      <c r="F212" s="295"/>
      <c r="G212" s="295"/>
      <c r="H212" s="295"/>
      <c r="I212" s="36"/>
      <c r="J212" s="33"/>
      <c r="K212" s="33"/>
      <c r="L212" s="142"/>
      <c r="M212" s="295"/>
      <c r="N212" s="295"/>
      <c r="O212" s="292"/>
      <c r="P212" s="295"/>
      <c r="Q212" s="295"/>
      <c r="R212" s="259"/>
      <c r="S212" s="259"/>
      <c r="T212" s="259"/>
      <c r="U212" s="34"/>
    </row>
    <row r="213" spans="1:21" x14ac:dyDescent="0.2">
      <c r="A213" s="31"/>
      <c r="B213" s="295"/>
      <c r="C213" s="295"/>
      <c r="D213" s="295"/>
      <c r="E213" s="295"/>
      <c r="F213" s="295"/>
      <c r="G213" s="295"/>
      <c r="H213" s="295"/>
      <c r="I213" s="36"/>
      <c r="J213" s="33"/>
      <c r="K213" s="33"/>
      <c r="L213" s="142"/>
      <c r="M213" s="295"/>
      <c r="N213" s="295"/>
      <c r="O213" s="292"/>
      <c r="P213" s="295"/>
      <c r="Q213" s="295"/>
      <c r="R213" s="259"/>
      <c r="S213" s="259"/>
      <c r="T213" s="259"/>
      <c r="U213" s="34"/>
    </row>
    <row r="214" spans="1:21" x14ac:dyDescent="0.2">
      <c r="A214" s="31"/>
      <c r="B214" s="295"/>
      <c r="C214" s="295"/>
      <c r="D214" s="295"/>
      <c r="E214" s="295"/>
      <c r="F214" s="295"/>
      <c r="G214" s="295"/>
      <c r="H214" s="295"/>
      <c r="I214" s="36"/>
      <c r="J214" s="33"/>
      <c r="K214" s="33"/>
      <c r="L214" s="142"/>
      <c r="M214" s="295"/>
      <c r="N214" s="295"/>
      <c r="O214" s="292"/>
      <c r="P214" s="295"/>
      <c r="Q214" s="295"/>
      <c r="R214" s="259"/>
      <c r="S214" s="259"/>
      <c r="T214" s="259"/>
      <c r="U214" s="34"/>
    </row>
    <row r="215" spans="1:21" x14ac:dyDescent="0.2">
      <c r="A215" s="31"/>
      <c r="B215" s="295"/>
      <c r="C215" s="295"/>
      <c r="D215" s="295"/>
      <c r="E215" s="295"/>
      <c r="F215" s="295"/>
      <c r="G215" s="295"/>
      <c r="H215" s="295"/>
      <c r="I215" s="36"/>
      <c r="J215" s="33"/>
      <c r="K215" s="33"/>
      <c r="L215" s="142"/>
      <c r="M215" s="295"/>
      <c r="N215" s="295"/>
      <c r="O215" s="292"/>
      <c r="P215" s="295"/>
      <c r="Q215" s="295"/>
      <c r="R215" s="259"/>
      <c r="S215" s="259"/>
      <c r="T215" s="259"/>
      <c r="U215" s="34"/>
    </row>
    <row r="216" spans="1:21" x14ac:dyDescent="0.2">
      <c r="A216" s="31"/>
      <c r="B216" s="295"/>
      <c r="C216" s="295"/>
      <c r="D216" s="295"/>
      <c r="E216" s="295"/>
      <c r="F216" s="295"/>
      <c r="G216" s="295"/>
      <c r="H216" s="295"/>
      <c r="I216" s="36"/>
      <c r="J216" s="33"/>
      <c r="K216" s="33"/>
      <c r="L216" s="142"/>
      <c r="M216" s="295"/>
      <c r="N216" s="295"/>
      <c r="O216" s="292"/>
      <c r="P216" s="295"/>
      <c r="Q216" s="295"/>
      <c r="R216" s="259"/>
      <c r="S216" s="259"/>
      <c r="T216" s="259"/>
      <c r="U216" s="34"/>
    </row>
    <row r="217" spans="1:21" x14ac:dyDescent="0.2">
      <c r="A217" s="31"/>
      <c r="B217" s="295"/>
      <c r="C217" s="295"/>
      <c r="D217" s="295"/>
      <c r="E217" s="295"/>
      <c r="F217" s="295"/>
      <c r="G217" s="295"/>
      <c r="H217" s="295"/>
      <c r="I217" s="36"/>
      <c r="J217" s="33"/>
      <c r="K217" s="33"/>
      <c r="L217" s="142"/>
      <c r="M217" s="295"/>
      <c r="N217" s="295"/>
      <c r="O217" s="292"/>
      <c r="P217" s="295"/>
      <c r="Q217" s="295"/>
      <c r="R217" s="259"/>
      <c r="S217" s="259"/>
      <c r="T217" s="259"/>
      <c r="U217" s="34"/>
    </row>
    <row r="218" spans="1:21" x14ac:dyDescent="0.2">
      <c r="O218" s="54"/>
      <c r="R218" s="3"/>
      <c r="S218" s="3"/>
      <c r="T218" s="3"/>
      <c r="U218" s="3"/>
    </row>
    <row r="219" spans="1:21" x14ac:dyDescent="0.2">
      <c r="O219" s="54"/>
      <c r="R219" s="3"/>
      <c r="S219" s="3"/>
      <c r="T219" s="3"/>
      <c r="U219" s="3"/>
    </row>
    <row r="220" spans="1:21" x14ac:dyDescent="0.2">
      <c r="O220" s="54"/>
      <c r="R220" s="3"/>
      <c r="S220" s="3"/>
      <c r="T220" s="3"/>
      <c r="U220" s="3"/>
    </row>
    <row r="221" spans="1:21" x14ac:dyDescent="0.2">
      <c r="O221" s="54"/>
      <c r="R221" s="3"/>
      <c r="S221" s="3"/>
      <c r="T221" s="3"/>
      <c r="U221" s="3"/>
    </row>
    <row r="222" spans="1:21" x14ac:dyDescent="0.2">
      <c r="O222" s="54"/>
      <c r="R222" s="3"/>
      <c r="S222" s="3"/>
      <c r="T222" s="3"/>
      <c r="U222" s="3"/>
    </row>
    <row r="223" spans="1:21" x14ac:dyDescent="0.2">
      <c r="O223" s="54"/>
      <c r="R223" s="3"/>
      <c r="S223" s="3"/>
      <c r="T223" s="3"/>
      <c r="U223" s="3"/>
    </row>
    <row r="224" spans="1:21" x14ac:dyDescent="0.2">
      <c r="O224" s="54"/>
      <c r="R224" s="3"/>
      <c r="S224" s="3"/>
      <c r="T224" s="3"/>
      <c r="U224" s="3"/>
    </row>
    <row r="225" spans="15:21" x14ac:dyDescent="0.2">
      <c r="O225" s="54"/>
      <c r="R225" s="3"/>
      <c r="S225" s="3"/>
      <c r="T225" s="3"/>
      <c r="U225" s="3"/>
    </row>
    <row r="226" spans="15:21" x14ac:dyDescent="0.2">
      <c r="O226" s="54"/>
      <c r="R226" s="3"/>
      <c r="S226" s="3"/>
      <c r="T226" s="3"/>
      <c r="U226" s="3"/>
    </row>
    <row r="227" spans="15:21" x14ac:dyDescent="0.2">
      <c r="O227" s="54"/>
      <c r="R227" s="3"/>
      <c r="S227" s="3"/>
      <c r="T227" s="3"/>
      <c r="U227" s="3"/>
    </row>
    <row r="228" spans="15:21" x14ac:dyDescent="0.2">
      <c r="O228" s="54"/>
      <c r="R228" s="3"/>
      <c r="S228" s="3"/>
      <c r="T228" s="3"/>
      <c r="U228" s="3"/>
    </row>
    <row r="229" spans="15:21" x14ac:dyDescent="0.2">
      <c r="O229" s="54"/>
      <c r="R229" s="3"/>
      <c r="S229" s="3"/>
      <c r="T229" s="3"/>
      <c r="U229" s="3"/>
    </row>
    <row r="230" spans="15:21" x14ac:dyDescent="0.2">
      <c r="O230" s="54"/>
      <c r="R230" s="3"/>
      <c r="S230" s="3"/>
      <c r="T230" s="3"/>
      <c r="U230" s="3"/>
    </row>
    <row r="231" spans="15:21" x14ac:dyDescent="0.2">
      <c r="O231" s="54"/>
      <c r="R231" s="3"/>
      <c r="S231" s="3"/>
      <c r="T231" s="3"/>
      <c r="U231" s="3"/>
    </row>
    <row r="232" spans="15:21" x14ac:dyDescent="0.2">
      <c r="O232" s="54"/>
      <c r="R232" s="3"/>
      <c r="S232" s="3"/>
      <c r="T232" s="3"/>
      <c r="U232" s="3"/>
    </row>
    <row r="233" spans="15:21" x14ac:dyDescent="0.2">
      <c r="O233" s="54"/>
      <c r="R233" s="3"/>
      <c r="S233" s="3"/>
      <c r="T233" s="3"/>
      <c r="U233" s="3"/>
    </row>
    <row r="234" spans="15:21" x14ac:dyDescent="0.2">
      <c r="O234" s="54"/>
      <c r="R234" s="3"/>
      <c r="S234" s="3"/>
      <c r="T234" s="3"/>
      <c r="U234" s="3"/>
    </row>
    <row r="235" spans="15:21" x14ac:dyDescent="0.2">
      <c r="O235" s="54"/>
      <c r="R235" s="3"/>
      <c r="S235" s="3"/>
      <c r="T235" s="3"/>
      <c r="U235" s="3"/>
    </row>
    <row r="236" spans="15:21" x14ac:dyDescent="0.2">
      <c r="O236" s="54"/>
      <c r="R236" s="3"/>
      <c r="S236" s="3"/>
      <c r="T236" s="3"/>
      <c r="U236" s="3"/>
    </row>
    <row r="237" spans="15:21" x14ac:dyDescent="0.2">
      <c r="O237" s="54"/>
      <c r="R237" s="3"/>
      <c r="S237" s="3"/>
      <c r="T237" s="3"/>
      <c r="U237" s="3"/>
    </row>
    <row r="238" spans="15:21" x14ac:dyDescent="0.2">
      <c r="O238" s="54"/>
      <c r="R238" s="3"/>
      <c r="S238" s="3"/>
      <c r="T238" s="3"/>
      <c r="U238" s="3"/>
    </row>
    <row r="239" spans="15:21" x14ac:dyDescent="0.2">
      <c r="O239" s="54"/>
      <c r="R239" s="3"/>
      <c r="S239" s="3"/>
      <c r="T239" s="3"/>
      <c r="U239" s="3"/>
    </row>
    <row r="240" spans="15:21" x14ac:dyDescent="0.2">
      <c r="O240" s="54"/>
      <c r="R240" s="3"/>
      <c r="S240" s="3"/>
      <c r="T240" s="3"/>
      <c r="U240" s="3"/>
    </row>
    <row r="241" spans="15:21" x14ac:dyDescent="0.2">
      <c r="O241" s="54"/>
      <c r="R241" s="3"/>
      <c r="S241" s="3"/>
      <c r="T241" s="3"/>
      <c r="U241" s="3"/>
    </row>
    <row r="242" spans="15:21" x14ac:dyDescent="0.2">
      <c r="O242" s="54"/>
      <c r="R242" s="3"/>
      <c r="S242" s="3"/>
      <c r="T242" s="3"/>
      <c r="U242" s="3"/>
    </row>
    <row r="243" spans="15:21" x14ac:dyDescent="0.2">
      <c r="O243" s="54"/>
      <c r="R243" s="3"/>
      <c r="S243" s="3"/>
      <c r="T243" s="3"/>
      <c r="U243" s="3"/>
    </row>
    <row r="244" spans="15:21" x14ac:dyDescent="0.2">
      <c r="O244" s="54"/>
      <c r="R244" s="3"/>
      <c r="S244" s="3"/>
      <c r="T244" s="3"/>
      <c r="U244" s="3"/>
    </row>
    <row r="245" spans="15:21" x14ac:dyDescent="0.2">
      <c r="O245" s="54"/>
      <c r="R245" s="3"/>
      <c r="S245" s="3"/>
      <c r="T245" s="3"/>
      <c r="U245" s="3"/>
    </row>
    <row r="246" spans="15:21" x14ac:dyDescent="0.2">
      <c r="O246" s="54"/>
      <c r="R246" s="3"/>
      <c r="S246" s="3"/>
      <c r="T246" s="3"/>
      <c r="U246" s="3"/>
    </row>
    <row r="247" spans="15:21" x14ac:dyDescent="0.2">
      <c r="O247" s="54"/>
      <c r="R247" s="3"/>
      <c r="S247" s="3"/>
      <c r="T247" s="3"/>
      <c r="U247" s="3"/>
    </row>
    <row r="248" spans="15:21" x14ac:dyDescent="0.2">
      <c r="O248" s="54"/>
      <c r="R248" s="3"/>
      <c r="S248" s="3"/>
      <c r="T248" s="3"/>
      <c r="U248" s="3"/>
    </row>
    <row r="249" spans="15:21" x14ac:dyDescent="0.2">
      <c r="O249" s="54"/>
      <c r="R249" s="3"/>
      <c r="S249" s="3"/>
      <c r="T249" s="3"/>
      <c r="U249" s="3"/>
    </row>
    <row r="250" spans="15:21" x14ac:dyDescent="0.2">
      <c r="O250" s="54"/>
      <c r="R250" s="3"/>
      <c r="S250" s="3"/>
      <c r="T250" s="3"/>
      <c r="U250" s="3"/>
    </row>
    <row r="251" spans="15:21" x14ac:dyDescent="0.2">
      <c r="O251" s="54"/>
      <c r="R251" s="3"/>
      <c r="S251" s="3"/>
      <c r="T251" s="3"/>
      <c r="U251" s="3"/>
    </row>
    <row r="252" spans="15:21" x14ac:dyDescent="0.2">
      <c r="O252" s="54"/>
      <c r="R252" s="3"/>
      <c r="S252" s="3"/>
      <c r="T252" s="3"/>
      <c r="U252" s="3"/>
    </row>
    <row r="253" spans="15:21" x14ac:dyDescent="0.2">
      <c r="O253" s="54"/>
      <c r="R253" s="3"/>
      <c r="S253" s="3"/>
      <c r="T253" s="3"/>
      <c r="U253" s="3"/>
    </row>
    <row r="254" spans="15:21" x14ac:dyDescent="0.2">
      <c r="O254" s="54"/>
      <c r="R254" s="3"/>
      <c r="S254" s="3"/>
      <c r="T254" s="3"/>
      <c r="U254" s="3"/>
    </row>
    <row r="255" spans="15:21" x14ac:dyDescent="0.2">
      <c r="O255" s="54"/>
      <c r="R255" s="3"/>
      <c r="S255" s="3"/>
      <c r="T255" s="3"/>
      <c r="U255" s="3"/>
    </row>
    <row r="256" spans="15:21" x14ac:dyDescent="0.2">
      <c r="O256" s="54"/>
      <c r="R256" s="3"/>
      <c r="S256" s="3"/>
      <c r="T256" s="3"/>
      <c r="U256" s="3"/>
    </row>
    <row r="257" spans="15:21" x14ac:dyDescent="0.2">
      <c r="O257" s="54"/>
      <c r="R257" s="3"/>
      <c r="S257" s="3"/>
      <c r="T257" s="3"/>
      <c r="U257" s="3"/>
    </row>
    <row r="258" spans="15:21" x14ac:dyDescent="0.2">
      <c r="O258" s="54"/>
      <c r="R258" s="3"/>
      <c r="S258" s="3"/>
      <c r="T258" s="3"/>
      <c r="U258" s="3"/>
    </row>
    <row r="259" spans="15:21" x14ac:dyDescent="0.2">
      <c r="O259" s="54"/>
      <c r="R259" s="3"/>
      <c r="S259" s="3"/>
      <c r="T259" s="3"/>
      <c r="U259" s="3"/>
    </row>
    <row r="260" spans="15:21" x14ac:dyDescent="0.2">
      <c r="O260" s="54"/>
      <c r="R260" s="3"/>
      <c r="S260" s="3"/>
      <c r="T260" s="3"/>
      <c r="U260" s="3"/>
    </row>
    <row r="261" spans="15:21" x14ac:dyDescent="0.2">
      <c r="O261" s="54"/>
      <c r="R261" s="3"/>
      <c r="S261" s="3"/>
      <c r="T261" s="3"/>
      <c r="U261" s="3"/>
    </row>
    <row r="262" spans="15:21" x14ac:dyDescent="0.2">
      <c r="O262" s="54"/>
      <c r="R262" s="3"/>
      <c r="S262" s="3"/>
      <c r="T262" s="3"/>
      <c r="U262" s="3"/>
    </row>
    <row r="263" spans="15:21" x14ac:dyDescent="0.2">
      <c r="O263" s="54"/>
      <c r="R263" s="3"/>
      <c r="S263" s="3"/>
      <c r="T263" s="3"/>
      <c r="U263" s="3"/>
    </row>
    <row r="264" spans="15:21" x14ac:dyDescent="0.2">
      <c r="O264" s="54"/>
      <c r="R264" s="3"/>
      <c r="S264" s="3"/>
      <c r="T264" s="3"/>
      <c r="U264" s="3"/>
    </row>
    <row r="265" spans="15:21" x14ac:dyDescent="0.2">
      <c r="O265" s="54"/>
      <c r="R265" s="3"/>
      <c r="S265" s="3"/>
      <c r="T265" s="3"/>
      <c r="U265" s="3"/>
    </row>
    <row r="266" spans="15:21" x14ac:dyDescent="0.2">
      <c r="O266" s="54"/>
      <c r="R266" s="3"/>
      <c r="S266" s="3"/>
      <c r="T266" s="3"/>
      <c r="U266" s="3"/>
    </row>
    <row r="267" spans="15:21" x14ac:dyDescent="0.2">
      <c r="O267" s="54"/>
      <c r="R267" s="3"/>
      <c r="S267" s="3"/>
      <c r="T267" s="3"/>
      <c r="U267" s="3"/>
    </row>
    <row r="268" spans="15:21" x14ac:dyDescent="0.2">
      <c r="O268" s="54"/>
      <c r="R268" s="3"/>
      <c r="S268" s="3"/>
      <c r="T268" s="3"/>
      <c r="U268" s="3"/>
    </row>
    <row r="269" spans="15:21" x14ac:dyDescent="0.2">
      <c r="O269" s="54"/>
      <c r="R269" s="3"/>
      <c r="S269" s="3"/>
      <c r="T269" s="3"/>
      <c r="U269" s="3"/>
    </row>
    <row r="270" spans="15:21" x14ac:dyDescent="0.2">
      <c r="O270" s="54"/>
      <c r="R270" s="3"/>
      <c r="S270" s="3"/>
      <c r="T270" s="3"/>
      <c r="U270" s="3"/>
    </row>
    <row r="271" spans="15:21" x14ac:dyDescent="0.2">
      <c r="O271" s="54"/>
      <c r="R271" s="3"/>
      <c r="S271" s="3"/>
      <c r="T271" s="3"/>
      <c r="U271" s="3"/>
    </row>
    <row r="272" spans="15:21" x14ac:dyDescent="0.2">
      <c r="O272" s="54"/>
      <c r="R272" s="3"/>
      <c r="S272" s="3"/>
      <c r="T272" s="3"/>
      <c r="U272" s="3"/>
    </row>
    <row r="273" spans="15:21" x14ac:dyDescent="0.2">
      <c r="O273" s="54"/>
      <c r="R273" s="3"/>
      <c r="S273" s="3"/>
      <c r="T273" s="3"/>
      <c r="U273" s="3"/>
    </row>
    <row r="274" spans="15:21" x14ac:dyDescent="0.2">
      <c r="O274" s="54"/>
      <c r="R274" s="3"/>
      <c r="S274" s="3"/>
      <c r="T274" s="3"/>
      <c r="U274" s="3"/>
    </row>
    <row r="275" spans="15:21" x14ac:dyDescent="0.2">
      <c r="O275" s="54"/>
      <c r="R275" s="3"/>
      <c r="S275" s="3"/>
      <c r="T275" s="3"/>
      <c r="U275" s="3"/>
    </row>
    <row r="276" spans="15:21" x14ac:dyDescent="0.2">
      <c r="O276" s="54"/>
      <c r="R276" s="3"/>
      <c r="S276" s="3"/>
      <c r="T276" s="3"/>
      <c r="U276" s="3"/>
    </row>
    <row r="277" spans="15:21" x14ac:dyDescent="0.2">
      <c r="O277" s="54"/>
      <c r="R277" s="3"/>
      <c r="S277" s="3"/>
      <c r="T277" s="3"/>
      <c r="U277" s="3"/>
    </row>
    <row r="278" spans="15:21" x14ac:dyDescent="0.2">
      <c r="O278" s="54"/>
      <c r="R278" s="3"/>
      <c r="S278" s="3"/>
      <c r="T278" s="3"/>
      <c r="U278" s="3"/>
    </row>
    <row r="279" spans="15:21" x14ac:dyDescent="0.2">
      <c r="O279" s="54"/>
      <c r="R279" s="3"/>
      <c r="S279" s="3"/>
      <c r="T279" s="3"/>
      <c r="U279" s="3"/>
    </row>
    <row r="280" spans="15:21" x14ac:dyDescent="0.2">
      <c r="O280" s="54"/>
      <c r="R280" s="3"/>
      <c r="S280" s="3"/>
      <c r="T280" s="3"/>
      <c r="U280" s="3"/>
    </row>
    <row r="281" spans="15:21" x14ac:dyDescent="0.2">
      <c r="O281" s="54"/>
      <c r="R281" s="3"/>
      <c r="S281" s="3"/>
      <c r="T281" s="3"/>
      <c r="U281" s="3"/>
    </row>
    <row r="282" spans="15:21" x14ac:dyDescent="0.2">
      <c r="O282" s="54"/>
      <c r="R282" s="3"/>
      <c r="S282" s="3"/>
      <c r="T282" s="3"/>
      <c r="U282" s="3"/>
    </row>
    <row r="283" spans="15:21" x14ac:dyDescent="0.2">
      <c r="O283" s="54"/>
      <c r="R283" s="3"/>
      <c r="S283" s="3"/>
      <c r="T283" s="3"/>
      <c r="U283" s="3"/>
    </row>
    <row r="284" spans="15:21" x14ac:dyDescent="0.2">
      <c r="O284" s="54"/>
      <c r="R284" s="3"/>
      <c r="S284" s="3"/>
      <c r="T284" s="3"/>
      <c r="U284" s="3"/>
    </row>
    <row r="285" spans="15:21" x14ac:dyDescent="0.2">
      <c r="O285" s="54"/>
      <c r="R285" s="3"/>
      <c r="S285" s="3"/>
      <c r="T285" s="3"/>
      <c r="U285" s="3"/>
    </row>
    <row r="286" spans="15:21" x14ac:dyDescent="0.2">
      <c r="O286" s="54"/>
      <c r="R286" s="3"/>
      <c r="S286" s="3"/>
      <c r="T286" s="3"/>
      <c r="U286" s="3"/>
    </row>
    <row r="287" spans="15:21" x14ac:dyDescent="0.2">
      <c r="O287" s="54"/>
      <c r="R287" s="3"/>
      <c r="S287" s="3"/>
      <c r="T287" s="3"/>
      <c r="U287" s="3"/>
    </row>
    <row r="288" spans="15:21" x14ac:dyDescent="0.2">
      <c r="O288" s="54"/>
      <c r="R288" s="3"/>
      <c r="S288" s="3"/>
      <c r="T288" s="3"/>
      <c r="U288" s="3"/>
    </row>
    <row r="289" spans="15:21" x14ac:dyDescent="0.2">
      <c r="O289" s="54"/>
      <c r="R289" s="3"/>
      <c r="S289" s="3"/>
      <c r="T289" s="3"/>
      <c r="U289" s="3"/>
    </row>
    <row r="290" spans="15:21" x14ac:dyDescent="0.2">
      <c r="O290" s="54"/>
      <c r="R290" s="3"/>
      <c r="S290" s="3"/>
      <c r="T290" s="3"/>
      <c r="U290" s="3"/>
    </row>
    <row r="291" spans="15:21" x14ac:dyDescent="0.2">
      <c r="O291" s="54"/>
      <c r="R291" s="3"/>
      <c r="S291" s="3"/>
      <c r="T291" s="3"/>
      <c r="U291" s="3"/>
    </row>
    <row r="292" spans="15:21" x14ac:dyDescent="0.2">
      <c r="O292" s="54"/>
      <c r="R292" s="3"/>
      <c r="S292" s="3"/>
      <c r="T292" s="3"/>
      <c r="U292" s="3"/>
    </row>
    <row r="293" spans="15:21" x14ac:dyDescent="0.2">
      <c r="O293" s="54"/>
      <c r="R293" s="3"/>
      <c r="S293" s="3"/>
      <c r="T293" s="3"/>
      <c r="U293" s="3"/>
    </row>
    <row r="294" spans="15:21" x14ac:dyDescent="0.2">
      <c r="O294" s="54"/>
      <c r="R294" s="3"/>
      <c r="S294" s="3"/>
      <c r="T294" s="3"/>
      <c r="U294" s="3"/>
    </row>
    <row r="295" spans="15:21" x14ac:dyDescent="0.2">
      <c r="O295" s="54"/>
      <c r="R295" s="3"/>
      <c r="S295" s="3"/>
      <c r="T295" s="3"/>
      <c r="U295" s="3"/>
    </row>
    <row r="296" spans="15:21" x14ac:dyDescent="0.2">
      <c r="O296" s="54"/>
      <c r="R296" s="3"/>
      <c r="S296" s="3"/>
      <c r="T296" s="3"/>
      <c r="U296" s="3"/>
    </row>
    <row r="297" spans="15:21" x14ac:dyDescent="0.2">
      <c r="O297" s="54"/>
      <c r="R297" s="3"/>
      <c r="S297" s="3"/>
      <c r="T297" s="3"/>
      <c r="U297" s="3"/>
    </row>
    <row r="298" spans="15:21" x14ac:dyDescent="0.2">
      <c r="O298" s="54"/>
      <c r="R298" s="3"/>
      <c r="S298" s="3"/>
      <c r="T298" s="3"/>
      <c r="U298" s="3"/>
    </row>
    <row r="299" spans="15:21" x14ac:dyDescent="0.2">
      <c r="O299" s="54"/>
      <c r="R299" s="3"/>
      <c r="S299" s="3"/>
      <c r="T299" s="3"/>
      <c r="U299" s="3"/>
    </row>
    <row r="300" spans="15:21" x14ac:dyDescent="0.2">
      <c r="O300" s="54"/>
      <c r="R300" s="3"/>
      <c r="S300" s="3"/>
      <c r="T300" s="3"/>
      <c r="U300" s="3"/>
    </row>
    <row r="301" spans="15:21" x14ac:dyDescent="0.2">
      <c r="O301" s="54"/>
      <c r="R301" s="3"/>
      <c r="S301" s="3"/>
      <c r="T301" s="3"/>
      <c r="U301" s="3"/>
    </row>
    <row r="302" spans="15:21" x14ac:dyDescent="0.2">
      <c r="O302" s="54"/>
      <c r="R302" s="3"/>
      <c r="S302" s="3"/>
      <c r="T302" s="3"/>
      <c r="U302" s="3"/>
    </row>
    <row r="303" spans="15:21" x14ac:dyDescent="0.2">
      <c r="O303" s="54"/>
      <c r="R303" s="3"/>
      <c r="S303" s="3"/>
      <c r="T303" s="3"/>
      <c r="U303" s="3"/>
    </row>
    <row r="304" spans="15:21" x14ac:dyDescent="0.2">
      <c r="O304" s="54"/>
      <c r="R304" s="3"/>
      <c r="S304" s="3"/>
      <c r="T304" s="3"/>
      <c r="U304" s="3"/>
    </row>
    <row r="305" spans="15:21" x14ac:dyDescent="0.2">
      <c r="O305" s="54"/>
      <c r="R305" s="3"/>
      <c r="S305" s="3"/>
      <c r="T305" s="3"/>
      <c r="U305" s="3"/>
    </row>
    <row r="306" spans="15:21" x14ac:dyDescent="0.2">
      <c r="O306" s="54"/>
      <c r="R306" s="3"/>
      <c r="S306" s="3"/>
      <c r="T306" s="3"/>
      <c r="U306" s="3"/>
    </row>
    <row r="307" spans="15:21" x14ac:dyDescent="0.2">
      <c r="O307" s="54"/>
      <c r="R307" s="3"/>
      <c r="S307" s="3"/>
      <c r="T307" s="3"/>
      <c r="U307" s="3"/>
    </row>
    <row r="308" spans="15:21" x14ac:dyDescent="0.2">
      <c r="O308" s="54"/>
      <c r="R308" s="3"/>
      <c r="S308" s="3"/>
      <c r="T308" s="3"/>
      <c r="U308" s="3"/>
    </row>
    <row r="309" spans="15:21" x14ac:dyDescent="0.2">
      <c r="O309" s="54"/>
      <c r="R309" s="3"/>
      <c r="S309" s="3"/>
      <c r="T309" s="3"/>
      <c r="U309" s="3"/>
    </row>
    <row r="310" spans="15:21" x14ac:dyDescent="0.2">
      <c r="O310" s="54"/>
      <c r="R310" s="3"/>
      <c r="S310" s="3"/>
      <c r="T310" s="3"/>
      <c r="U310" s="3"/>
    </row>
    <row r="311" spans="15:21" x14ac:dyDescent="0.2">
      <c r="O311" s="54"/>
      <c r="R311" s="3"/>
      <c r="S311" s="3"/>
      <c r="T311" s="3"/>
      <c r="U311" s="3"/>
    </row>
  </sheetData>
  <autoFilter ref="A2:T159" xr:uid="{127B5502-E989-4981-B0CF-0F4DF14A6C75}"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</autoFilter>
  <dataConsolidate>
    <dataRefs count="2">
      <dataRef name="magnetico"/>
      <dataRef name="Sensores"/>
    </dataRefs>
  </dataConsolidate>
  <mergeCells count="500">
    <mergeCell ref="I101:K101"/>
    <mergeCell ref="B133:B137"/>
    <mergeCell ref="C132:C139"/>
    <mergeCell ref="I132:K132"/>
    <mergeCell ref="M132:M133"/>
    <mergeCell ref="N132:N135"/>
    <mergeCell ref="R132:T132"/>
    <mergeCell ref="I133:K133"/>
    <mergeCell ref="R133:T133"/>
    <mergeCell ref="I134:K134"/>
    <mergeCell ref="M134:M135"/>
    <mergeCell ref="R134:T134"/>
    <mergeCell ref="I135:K135"/>
    <mergeCell ref="R135:T135"/>
    <mergeCell ref="I136:K136"/>
    <mergeCell ref="M136:M137"/>
    <mergeCell ref="N136:N139"/>
    <mergeCell ref="R136:T136"/>
    <mergeCell ref="I137:K137"/>
    <mergeCell ref="R137:T137"/>
    <mergeCell ref="I138:K138"/>
    <mergeCell ref="M138:M139"/>
    <mergeCell ref="R138:T138"/>
    <mergeCell ref="R110:T110"/>
    <mergeCell ref="AA47:AC47"/>
    <mergeCell ref="I70:K70"/>
    <mergeCell ref="I67:K67"/>
    <mergeCell ref="R70:T70"/>
    <mergeCell ref="R78:T78"/>
    <mergeCell ref="R67:T67"/>
    <mergeCell ref="AA52:AB52"/>
    <mergeCell ref="R65:T65"/>
    <mergeCell ref="I66:K66"/>
    <mergeCell ref="I72:K72"/>
    <mergeCell ref="I75:K75"/>
    <mergeCell ref="I52:K52"/>
    <mergeCell ref="I60:K60"/>
    <mergeCell ref="I58:K58"/>
    <mergeCell ref="I48:K48"/>
    <mergeCell ref="AA48:AC48"/>
    <mergeCell ref="AA49:AC49"/>
    <mergeCell ref="N53:N68"/>
    <mergeCell ref="I71:K71"/>
    <mergeCell ref="I76:K76"/>
    <mergeCell ref="M53:M56"/>
    <mergeCell ref="I62:K62"/>
    <mergeCell ref="I63:K63"/>
    <mergeCell ref="R48:T48"/>
    <mergeCell ref="I85:K85"/>
    <mergeCell ref="I79:K79"/>
    <mergeCell ref="I94:K94"/>
    <mergeCell ref="I82:K82"/>
    <mergeCell ref="I90:K90"/>
    <mergeCell ref="R88:T88"/>
    <mergeCell ref="I86:K86"/>
    <mergeCell ref="R85:T85"/>
    <mergeCell ref="I77:K77"/>
    <mergeCell ref="I92:K92"/>
    <mergeCell ref="R89:T89"/>
    <mergeCell ref="R92:T92"/>
    <mergeCell ref="I87:K87"/>
    <mergeCell ref="C69:C84"/>
    <mergeCell ref="R69:T69"/>
    <mergeCell ref="N69:N84"/>
    <mergeCell ref="R76:T76"/>
    <mergeCell ref="I69:K69"/>
    <mergeCell ref="R72:T72"/>
    <mergeCell ref="R81:T81"/>
    <mergeCell ref="R79:T79"/>
    <mergeCell ref="I74:K74"/>
    <mergeCell ref="R75:T75"/>
    <mergeCell ref="I73:K73"/>
    <mergeCell ref="R71:T71"/>
    <mergeCell ref="Q106:Q107"/>
    <mergeCell ref="P106:P107"/>
    <mergeCell ref="B108:B115"/>
    <mergeCell ref="I96:K96"/>
    <mergeCell ref="I110:K110"/>
    <mergeCell ref="I109:K109"/>
    <mergeCell ref="R116:T116"/>
    <mergeCell ref="R112:T112"/>
    <mergeCell ref="M112:M115"/>
    <mergeCell ref="I116:K116"/>
    <mergeCell ref="I115:K115"/>
    <mergeCell ref="R97:T97"/>
    <mergeCell ref="N85:N100"/>
    <mergeCell ref="I93:K93"/>
    <mergeCell ref="R93:T93"/>
    <mergeCell ref="I98:K98"/>
    <mergeCell ref="R96:T96"/>
    <mergeCell ref="R94:T94"/>
    <mergeCell ref="R98:T98"/>
    <mergeCell ref="B85:B92"/>
    <mergeCell ref="O103:Q103"/>
    <mergeCell ref="C85:C100"/>
    <mergeCell ref="N102:Q102"/>
    <mergeCell ref="C102:G102"/>
    <mergeCell ref="Z107:AA107"/>
    <mergeCell ref="M106:M107"/>
    <mergeCell ref="R108:T108"/>
    <mergeCell ref="B116:B123"/>
    <mergeCell ref="I122:K122"/>
    <mergeCell ref="C116:C123"/>
    <mergeCell ref="C106:C107"/>
    <mergeCell ref="C108:C115"/>
    <mergeCell ref="M108:M111"/>
    <mergeCell ref="R113:T113"/>
    <mergeCell ref="R114:T114"/>
    <mergeCell ref="R115:T115"/>
    <mergeCell ref="R111:T111"/>
    <mergeCell ref="N112:N115"/>
    <mergeCell ref="N108:N111"/>
    <mergeCell ref="O106:O107"/>
    <mergeCell ref="D106:D107"/>
    <mergeCell ref="I111:K111"/>
    <mergeCell ref="I112:K112"/>
    <mergeCell ref="R117:T117"/>
    <mergeCell ref="I108:K108"/>
    <mergeCell ref="R118:T118"/>
    <mergeCell ref="N106:N107"/>
    <mergeCell ref="I106:K107"/>
    <mergeCell ref="R140:T140"/>
    <mergeCell ref="I141:K141"/>
    <mergeCell ref="R141:T141"/>
    <mergeCell ref="I142:K142"/>
    <mergeCell ref="M142:M143"/>
    <mergeCell ref="R142:T142"/>
    <mergeCell ref="I143:K143"/>
    <mergeCell ref="R143:T143"/>
    <mergeCell ref="R145:T145"/>
    <mergeCell ref="Q154:S154"/>
    <mergeCell ref="D148:H148"/>
    <mergeCell ref="B140:B143"/>
    <mergeCell ref="I140:K140"/>
    <mergeCell ref="B77:B84"/>
    <mergeCell ref="I68:K68"/>
    <mergeCell ref="R83:T83"/>
    <mergeCell ref="I83:K83"/>
    <mergeCell ref="B69:B76"/>
    <mergeCell ref="B61:B68"/>
    <mergeCell ref="D104:H104"/>
    <mergeCell ref="D105:H105"/>
    <mergeCell ref="H106:H107"/>
    <mergeCell ref="R106:T107"/>
    <mergeCell ref="O104:Q104"/>
    <mergeCell ref="O105:Q105"/>
    <mergeCell ref="E106:G106"/>
    <mergeCell ref="I99:K99"/>
    <mergeCell ref="R99:T99"/>
    <mergeCell ref="I100:K100"/>
    <mergeCell ref="R100:T100"/>
    <mergeCell ref="R95:T95"/>
    <mergeCell ref="D103:H103"/>
    <mergeCell ref="R109:T109"/>
    <mergeCell ref="O148:Q148"/>
    <mergeCell ref="O149:Q149"/>
    <mergeCell ref="I144:K144"/>
    <mergeCell ref="O150:Q150"/>
    <mergeCell ref="N144:N147"/>
    <mergeCell ref="D149:H149"/>
    <mergeCell ref="D150:H150"/>
    <mergeCell ref="I113:K113"/>
    <mergeCell ref="I114:K114"/>
    <mergeCell ref="I147:K147"/>
    <mergeCell ref="I117:K117"/>
    <mergeCell ref="I130:K130"/>
    <mergeCell ref="M130:M131"/>
    <mergeCell ref="I131:K131"/>
    <mergeCell ref="I119:K119"/>
    <mergeCell ref="I121:K121"/>
    <mergeCell ref="M116:M119"/>
    <mergeCell ref="M120:M121"/>
    <mergeCell ref="M144:M145"/>
    <mergeCell ref="M140:M141"/>
    <mergeCell ref="N140:N143"/>
    <mergeCell ref="B124:B127"/>
    <mergeCell ref="C124:C131"/>
    <mergeCell ref="I124:K124"/>
    <mergeCell ref="M124:M125"/>
    <mergeCell ref="N124:N127"/>
    <mergeCell ref="I125:K125"/>
    <mergeCell ref="I126:K126"/>
    <mergeCell ref="M126:M127"/>
    <mergeCell ref="I127:K127"/>
    <mergeCell ref="I128:K128"/>
    <mergeCell ref="M128:M129"/>
    <mergeCell ref="B128:B132"/>
    <mergeCell ref="B151:D152"/>
    <mergeCell ref="B144:B147"/>
    <mergeCell ref="D172:T172"/>
    <mergeCell ref="E158:J158"/>
    <mergeCell ref="E155:J155"/>
    <mergeCell ref="K155:T155"/>
    <mergeCell ref="E157:J157"/>
    <mergeCell ref="K157:T157"/>
    <mergeCell ref="E156:J156"/>
    <mergeCell ref="K156:T156"/>
    <mergeCell ref="K158:T158"/>
    <mergeCell ref="R147:T147"/>
    <mergeCell ref="I146:K146"/>
    <mergeCell ref="M146:M147"/>
    <mergeCell ref="R146:T146"/>
    <mergeCell ref="B170:C170"/>
    <mergeCell ref="E159:T159"/>
    <mergeCell ref="D167:T167"/>
    <mergeCell ref="D168:T168"/>
    <mergeCell ref="N164:R164"/>
    <mergeCell ref="F166:T166"/>
    <mergeCell ref="B163:F163"/>
    <mergeCell ref="B162:F162"/>
    <mergeCell ref="G162:I162"/>
    <mergeCell ref="B173:C173"/>
    <mergeCell ref="B161:F161"/>
    <mergeCell ref="B171:C171"/>
    <mergeCell ref="B176:C176"/>
    <mergeCell ref="R144:T144"/>
    <mergeCell ref="I145:K145"/>
    <mergeCell ref="E152:T152"/>
    <mergeCell ref="E151:T151"/>
    <mergeCell ref="J165:T165"/>
    <mergeCell ref="B168:C168"/>
    <mergeCell ref="B153:D159"/>
    <mergeCell ref="E153:I153"/>
    <mergeCell ref="E154:J154"/>
    <mergeCell ref="L153:T153"/>
    <mergeCell ref="D170:T170"/>
    <mergeCell ref="B169:C169"/>
    <mergeCell ref="B166:E166"/>
    <mergeCell ref="D165:I165"/>
    <mergeCell ref="D169:T169"/>
    <mergeCell ref="B164:F164"/>
    <mergeCell ref="B167:C167"/>
    <mergeCell ref="K154:N154"/>
    <mergeCell ref="O154:P154"/>
    <mergeCell ref="D176:T176"/>
    <mergeCell ref="R119:T119"/>
    <mergeCell ref="N120:N123"/>
    <mergeCell ref="I123:K123"/>
    <mergeCell ref="M122:M123"/>
    <mergeCell ref="R124:T124"/>
    <mergeCell ref="R125:T125"/>
    <mergeCell ref="R126:T126"/>
    <mergeCell ref="R127:T127"/>
    <mergeCell ref="N128:N131"/>
    <mergeCell ref="I129:K129"/>
    <mergeCell ref="R128:T128"/>
    <mergeCell ref="R129:T129"/>
    <mergeCell ref="R130:T130"/>
    <mergeCell ref="R120:T120"/>
    <mergeCell ref="R123:T123"/>
    <mergeCell ref="R122:T122"/>
    <mergeCell ref="I59:K59"/>
    <mergeCell ref="R54:T54"/>
    <mergeCell ref="R59:T59"/>
    <mergeCell ref="I64:K64"/>
    <mergeCell ref="R57:T57"/>
    <mergeCell ref="B183:C183"/>
    <mergeCell ref="D178:T178"/>
    <mergeCell ref="D179:T179"/>
    <mergeCell ref="D180:T180"/>
    <mergeCell ref="D181:T181"/>
    <mergeCell ref="D182:T182"/>
    <mergeCell ref="D183:T183"/>
    <mergeCell ref="B175:C175"/>
    <mergeCell ref="B177:C177"/>
    <mergeCell ref="B178:C178"/>
    <mergeCell ref="B179:C179"/>
    <mergeCell ref="B180:C180"/>
    <mergeCell ref="B181:C181"/>
    <mergeCell ref="B182:C182"/>
    <mergeCell ref="D175:T175"/>
    <mergeCell ref="D177:T177"/>
    <mergeCell ref="R131:T131"/>
    <mergeCell ref="R139:T139"/>
    <mergeCell ref="I139:K139"/>
    <mergeCell ref="C53:C68"/>
    <mergeCell ref="I51:K51"/>
    <mergeCell ref="I53:K53"/>
    <mergeCell ref="R68:T68"/>
    <mergeCell ref="R66:T66"/>
    <mergeCell ref="M69:M72"/>
    <mergeCell ref="B45:B52"/>
    <mergeCell ref="B53:B60"/>
    <mergeCell ref="B37:B44"/>
    <mergeCell ref="R55:T55"/>
    <mergeCell ref="R56:T56"/>
    <mergeCell ref="R58:T58"/>
    <mergeCell ref="R49:T49"/>
    <mergeCell ref="R50:T50"/>
    <mergeCell ref="R51:T51"/>
    <mergeCell ref="R44:T44"/>
    <mergeCell ref="R39:T39"/>
    <mergeCell ref="R63:T63"/>
    <mergeCell ref="I56:K56"/>
    <mergeCell ref="R64:T64"/>
    <mergeCell ref="M42:M50"/>
    <mergeCell ref="I49:K49"/>
    <mergeCell ref="I61:K61"/>
    <mergeCell ref="I55:K55"/>
    <mergeCell ref="D173:T173"/>
    <mergeCell ref="I31:K31"/>
    <mergeCell ref="I36:K36"/>
    <mergeCell ref="I46:K46"/>
    <mergeCell ref="C21:C36"/>
    <mergeCell ref="I35:K35"/>
    <mergeCell ref="I32:K32"/>
    <mergeCell ref="I22:K22"/>
    <mergeCell ref="I26:K26"/>
    <mergeCell ref="I57:K57"/>
    <mergeCell ref="I44:K44"/>
    <mergeCell ref="I24:K24"/>
    <mergeCell ref="B172:C172"/>
    <mergeCell ref="D171:T171"/>
    <mergeCell ref="D160:H160"/>
    <mergeCell ref="I80:K80"/>
    <mergeCell ref="I27:K27"/>
    <mergeCell ref="I33:K33"/>
    <mergeCell ref="C37:C52"/>
    <mergeCell ref="I54:K54"/>
    <mergeCell ref="B21:B28"/>
    <mergeCell ref="R35:T35"/>
    <mergeCell ref="I65:K65"/>
    <mergeCell ref="O160:Q160"/>
    <mergeCell ref="G161:R161"/>
    <mergeCell ref="G164:J164"/>
    <mergeCell ref="J162:R162"/>
    <mergeCell ref="G163:R163"/>
    <mergeCell ref="K164:M164"/>
    <mergeCell ref="I23:K23"/>
    <mergeCell ref="I29:K29"/>
    <mergeCell ref="N37:N52"/>
    <mergeCell ref="I47:K47"/>
    <mergeCell ref="R53:T53"/>
    <mergeCell ref="I45:K45"/>
    <mergeCell ref="I37:K37"/>
    <mergeCell ref="I40:K40"/>
    <mergeCell ref="I39:K39"/>
    <mergeCell ref="I38:K38"/>
    <mergeCell ref="I41:K41"/>
    <mergeCell ref="I42:K42"/>
    <mergeCell ref="I43:K43"/>
    <mergeCell ref="R47:T47"/>
    <mergeCell ref="I50:K50"/>
    <mergeCell ref="R46:T46"/>
    <mergeCell ref="R87:T87"/>
    <mergeCell ref="I88:K88"/>
    <mergeCell ref="I102:K102"/>
    <mergeCell ref="D2:T2"/>
    <mergeCell ref="I16:K16"/>
    <mergeCell ref="I12:K12"/>
    <mergeCell ref="I13:K13"/>
    <mergeCell ref="R5:T5"/>
    <mergeCell ref="E3:G3"/>
    <mergeCell ref="D3:D4"/>
    <mergeCell ref="H3:H4"/>
    <mergeCell ref="I3:K4"/>
    <mergeCell ref="N5:N20"/>
    <mergeCell ref="I6:K6"/>
    <mergeCell ref="P3:P4"/>
    <mergeCell ref="Q3:Q4"/>
    <mergeCell ref="R3:T4"/>
    <mergeCell ref="R19:T19"/>
    <mergeCell ref="R20:T20"/>
    <mergeCell ref="M3:M4"/>
    <mergeCell ref="R18:T18"/>
    <mergeCell ref="R17:T17"/>
    <mergeCell ref="N3:N4"/>
    <mergeCell ref="O3:O4"/>
    <mergeCell ref="R13:T13"/>
    <mergeCell ref="I18:K18"/>
    <mergeCell ref="R6:T6"/>
    <mergeCell ref="I28:K28"/>
    <mergeCell ref="I25:K25"/>
    <mergeCell ref="I15:K15"/>
    <mergeCell ref="AA12:AC12"/>
    <mergeCell ref="I5:K5"/>
    <mergeCell ref="R11:T11"/>
    <mergeCell ref="R7:T7"/>
    <mergeCell ref="R10:T10"/>
    <mergeCell ref="I7:K7"/>
    <mergeCell ref="I10:K10"/>
    <mergeCell ref="AA5:AC5"/>
    <mergeCell ref="I14:K14"/>
    <mergeCell ref="AA6:AC6"/>
    <mergeCell ref="AA7:AC7"/>
    <mergeCell ref="AA8:AC8"/>
    <mergeCell ref="AA11:AC11"/>
    <mergeCell ref="I17:K17"/>
    <mergeCell ref="R16:T16"/>
    <mergeCell ref="I8:K8"/>
    <mergeCell ref="I9:K9"/>
    <mergeCell ref="R15:T15"/>
    <mergeCell ref="I11:K11"/>
    <mergeCell ref="R8:T8"/>
    <mergeCell ref="R14:T14"/>
    <mergeCell ref="R12:T12"/>
    <mergeCell ref="AA15:AC15"/>
    <mergeCell ref="AA9:AC9"/>
    <mergeCell ref="R9:T9"/>
    <mergeCell ref="R26:T26"/>
    <mergeCell ref="R25:T25"/>
    <mergeCell ref="B3:B4"/>
    <mergeCell ref="C3:C4"/>
    <mergeCell ref="I21:K21"/>
    <mergeCell ref="AA24:AC24"/>
    <mergeCell ref="AA25:AC25"/>
    <mergeCell ref="AA26:AC26"/>
    <mergeCell ref="R23:T23"/>
    <mergeCell ref="I19:K19"/>
    <mergeCell ref="I20:K20"/>
    <mergeCell ref="R22:T22"/>
    <mergeCell ref="AA22:AC22"/>
    <mergeCell ref="AA23:AC23"/>
    <mergeCell ref="C5:C20"/>
    <mergeCell ref="AA13:AC13"/>
    <mergeCell ref="AA14:AC14"/>
    <mergeCell ref="AA10:AC10"/>
    <mergeCell ref="N21:N36"/>
    <mergeCell ref="R33:T33"/>
    <mergeCell ref="R21:T21"/>
    <mergeCell ref="AA16:AC16"/>
    <mergeCell ref="AA17:AC17"/>
    <mergeCell ref="AA18:AC18"/>
    <mergeCell ref="R29:T29"/>
    <mergeCell ref="AA19:AC19"/>
    <mergeCell ref="AA20:AC20"/>
    <mergeCell ref="AA21:AC21"/>
    <mergeCell ref="R24:T24"/>
    <mergeCell ref="R34:T34"/>
    <mergeCell ref="R28:T28"/>
    <mergeCell ref="R27:T27"/>
    <mergeCell ref="AA27:AC27"/>
    <mergeCell ref="R31:T31"/>
    <mergeCell ref="R32:T32"/>
    <mergeCell ref="AA29:AC29"/>
    <mergeCell ref="AA28:AC28"/>
    <mergeCell ref="AA46:AC46"/>
    <mergeCell ref="R30:T30"/>
    <mergeCell ref="AA30:AC30"/>
    <mergeCell ref="AA31:AC31"/>
    <mergeCell ref="AA32:AC32"/>
    <mergeCell ref="AA33:AC33"/>
    <mergeCell ref="AA34:AC34"/>
    <mergeCell ref="AA35:AC35"/>
    <mergeCell ref="AA36:AC36"/>
    <mergeCell ref="AA37:AC37"/>
    <mergeCell ref="AA39:AC39"/>
    <mergeCell ref="AA38:AC38"/>
    <mergeCell ref="AA43:AC43"/>
    <mergeCell ref="AA44:AC44"/>
    <mergeCell ref="AA42:AC42"/>
    <mergeCell ref="AA41:AC41"/>
    <mergeCell ref="R38:T38"/>
    <mergeCell ref="AA45:AC45"/>
    <mergeCell ref="AA40:AC40"/>
    <mergeCell ref="R45:T45"/>
    <mergeCell ref="R41:T41"/>
    <mergeCell ref="R40:T40"/>
    <mergeCell ref="R42:T42"/>
    <mergeCell ref="R43:T43"/>
    <mergeCell ref="AA106:AC106"/>
    <mergeCell ref="AA92:AC92"/>
    <mergeCell ref="AA95:AC95"/>
    <mergeCell ref="AA50:AC50"/>
    <mergeCell ref="AA51:AC51"/>
    <mergeCell ref="R52:T52"/>
    <mergeCell ref="R61:T61"/>
    <mergeCell ref="R60:T60"/>
    <mergeCell ref="R77:T77"/>
    <mergeCell ref="R62:T62"/>
    <mergeCell ref="R82:T82"/>
    <mergeCell ref="R80:T80"/>
    <mergeCell ref="R86:T86"/>
    <mergeCell ref="R73:T73"/>
    <mergeCell ref="R74:T74"/>
    <mergeCell ref="AA104:AC104"/>
    <mergeCell ref="AA75:AC75"/>
    <mergeCell ref="R101:T101"/>
    <mergeCell ref="B29:B36"/>
    <mergeCell ref="C140:C147"/>
    <mergeCell ref="B93:B100"/>
    <mergeCell ref="I120:K120"/>
    <mergeCell ref="R121:T121"/>
    <mergeCell ref="I97:K97"/>
    <mergeCell ref="I118:K118"/>
    <mergeCell ref="N116:N119"/>
    <mergeCell ref="I95:K95"/>
    <mergeCell ref="I89:K89"/>
    <mergeCell ref="R36:T36"/>
    <mergeCell ref="I30:K30"/>
    <mergeCell ref="I34:K34"/>
    <mergeCell ref="R37:T37"/>
    <mergeCell ref="B106:B107"/>
    <mergeCell ref="I84:K84"/>
    <mergeCell ref="R84:T84"/>
    <mergeCell ref="I81:K81"/>
    <mergeCell ref="I78:K78"/>
    <mergeCell ref="R90:T90"/>
    <mergeCell ref="I91:K91"/>
    <mergeCell ref="R91:T91"/>
  </mergeCells>
  <phoneticPr fontId="0" type="noConversion"/>
  <conditionalFormatting sqref="AC108:AD121">
    <cfRule type="cellIs" dxfId="53" priority="56" operator="greaterThan">
      <formula>0</formula>
    </cfRule>
  </conditionalFormatting>
  <conditionalFormatting sqref="AC122:AD123">
    <cfRule type="cellIs" dxfId="52" priority="55" operator="greaterThan">
      <formula>0</formula>
    </cfRule>
  </conditionalFormatting>
  <conditionalFormatting sqref="AC144:AD145">
    <cfRule type="cellIs" dxfId="51" priority="54" operator="greaterThan">
      <formula>0</formula>
    </cfRule>
  </conditionalFormatting>
  <conditionalFormatting sqref="AC146:AD147">
    <cfRule type="cellIs" dxfId="50" priority="53" operator="greaterThan">
      <formula>0</formula>
    </cfRule>
  </conditionalFormatting>
  <conditionalFormatting sqref="Z11 Z7 Z24 Z9 Z26 Z28 Z13 Z30 Z15 Z17:Z21 Z49:Z68 Z32:Z43">
    <cfRule type="cellIs" dxfId="49" priority="51" operator="equal">
      <formula>"NOK"</formula>
    </cfRule>
    <cfRule type="cellIs" dxfId="48" priority="52" operator="equal">
      <formula>"OK"</formula>
    </cfRule>
  </conditionalFormatting>
  <conditionalFormatting sqref="Z6">
    <cfRule type="cellIs" dxfId="47" priority="47" operator="equal">
      <formula>"NOK"</formula>
    </cfRule>
    <cfRule type="cellIs" dxfId="46" priority="48" operator="equal">
      <formula>"OK"</formula>
    </cfRule>
  </conditionalFormatting>
  <conditionalFormatting sqref="Z22:Z23">
    <cfRule type="cellIs" dxfId="45" priority="45" operator="equal">
      <formula>"NOK"</formula>
    </cfRule>
    <cfRule type="cellIs" dxfId="44" priority="46" operator="equal">
      <formula>"OK"</formula>
    </cfRule>
  </conditionalFormatting>
  <conditionalFormatting sqref="Z27">
    <cfRule type="cellIs" dxfId="43" priority="39" operator="equal">
      <formula>"NOK"</formula>
    </cfRule>
    <cfRule type="cellIs" dxfId="42" priority="40" operator="equal">
      <formula>"OK"</formula>
    </cfRule>
  </conditionalFormatting>
  <conditionalFormatting sqref="Z10">
    <cfRule type="cellIs" dxfId="41" priority="37" operator="equal">
      <formula>"NOK"</formula>
    </cfRule>
    <cfRule type="cellIs" dxfId="40" priority="38" operator="equal">
      <formula>"OK"</formula>
    </cfRule>
  </conditionalFormatting>
  <conditionalFormatting sqref="Z12">
    <cfRule type="cellIs" dxfId="39" priority="35" operator="equal">
      <formula>"NOK"</formula>
    </cfRule>
    <cfRule type="cellIs" dxfId="38" priority="36" operator="equal">
      <formula>"OK"</formula>
    </cfRule>
  </conditionalFormatting>
  <conditionalFormatting sqref="Z29">
    <cfRule type="cellIs" dxfId="37" priority="33" operator="equal">
      <formula>"NOK"</formula>
    </cfRule>
    <cfRule type="cellIs" dxfId="36" priority="34" operator="equal">
      <formula>"OK"</formula>
    </cfRule>
  </conditionalFormatting>
  <conditionalFormatting sqref="Z31">
    <cfRule type="cellIs" dxfId="35" priority="31" operator="equal">
      <formula>"NOK"</formula>
    </cfRule>
    <cfRule type="cellIs" dxfId="34" priority="32" operator="equal">
      <formula>"OK"</formula>
    </cfRule>
  </conditionalFormatting>
  <conditionalFormatting sqref="Z14">
    <cfRule type="cellIs" dxfId="33" priority="29" operator="equal">
      <formula>"NOK"</formula>
    </cfRule>
    <cfRule type="cellIs" dxfId="32" priority="30" operator="equal">
      <formula>"OK"</formula>
    </cfRule>
  </conditionalFormatting>
  <conditionalFormatting sqref="Z16">
    <cfRule type="cellIs" dxfId="31" priority="27" operator="equal">
      <formula>"NOK"</formula>
    </cfRule>
    <cfRule type="cellIs" dxfId="30" priority="28" operator="equal">
      <formula>"OK"</formula>
    </cfRule>
  </conditionalFormatting>
  <conditionalFormatting sqref="Z8">
    <cfRule type="cellIs" dxfId="29" priority="25" operator="equal">
      <formula>"NOK"</formula>
    </cfRule>
    <cfRule type="cellIs" dxfId="28" priority="26" operator="equal">
      <formula>"OK"</formula>
    </cfRule>
  </conditionalFormatting>
  <conditionalFormatting sqref="Z25">
    <cfRule type="cellIs" dxfId="27" priority="23" operator="equal">
      <formula>"NOK"</formula>
    </cfRule>
    <cfRule type="cellIs" dxfId="26" priority="24" operator="equal">
      <formula>"OK"</formula>
    </cfRule>
  </conditionalFormatting>
  <conditionalFormatting sqref="Z47">
    <cfRule type="cellIs" dxfId="25" priority="21" operator="equal">
      <formula>"NOK"</formula>
    </cfRule>
    <cfRule type="cellIs" dxfId="24" priority="22" operator="equal">
      <formula>"OK"</formula>
    </cfRule>
  </conditionalFormatting>
  <conditionalFormatting sqref="Z45">
    <cfRule type="cellIs" dxfId="23" priority="19" operator="equal">
      <formula>"NOK"</formula>
    </cfRule>
    <cfRule type="cellIs" dxfId="22" priority="20" operator="equal">
      <formula>"OK"</formula>
    </cfRule>
  </conditionalFormatting>
  <conditionalFormatting sqref="AC140:AD141">
    <cfRule type="cellIs" dxfId="21" priority="16" operator="greaterThan">
      <formula>0</formula>
    </cfRule>
  </conditionalFormatting>
  <conditionalFormatting sqref="AC142:AD143">
    <cfRule type="cellIs" dxfId="20" priority="15" operator="greaterThan">
      <formula>0</formula>
    </cfRule>
  </conditionalFormatting>
  <conditionalFormatting sqref="Z44">
    <cfRule type="cellIs" dxfId="19" priority="13" operator="equal">
      <formula>"NOK"</formula>
    </cfRule>
    <cfRule type="cellIs" dxfId="18" priority="14" operator="equal">
      <formula>"OK"</formula>
    </cfRule>
  </conditionalFormatting>
  <conditionalFormatting sqref="Z46">
    <cfRule type="cellIs" dxfId="17" priority="11" operator="equal">
      <formula>"NOK"</formula>
    </cfRule>
    <cfRule type="cellIs" dxfId="16" priority="12" operator="equal">
      <formula>"OK"</formula>
    </cfRule>
  </conditionalFormatting>
  <conditionalFormatting sqref="Z48">
    <cfRule type="cellIs" dxfId="15" priority="9" operator="equal">
      <formula>"NOK"</formula>
    </cfRule>
    <cfRule type="cellIs" dxfId="14" priority="10" operator="equal">
      <formula>"OK"</formula>
    </cfRule>
  </conditionalFormatting>
  <conditionalFormatting sqref="AC128:AD129">
    <cfRule type="cellIs" dxfId="13" priority="8" operator="greaterThan">
      <formula>0</formula>
    </cfRule>
  </conditionalFormatting>
  <conditionalFormatting sqref="AC130:AD131">
    <cfRule type="cellIs" dxfId="12" priority="7" operator="greaterThan">
      <formula>0</formula>
    </cfRule>
  </conditionalFormatting>
  <conditionalFormatting sqref="AC124:AD125">
    <cfRule type="cellIs" dxfId="11" priority="6" operator="greaterThan">
      <formula>0</formula>
    </cfRule>
  </conditionalFormatting>
  <conditionalFormatting sqref="AC126:AD127">
    <cfRule type="cellIs" dxfId="10" priority="5" operator="greaterThan">
      <formula>0</formula>
    </cfRule>
  </conditionalFormatting>
  <conditionalFormatting sqref="AC136:AD137">
    <cfRule type="cellIs" dxfId="9" priority="4" operator="greaterThan">
      <formula>0</formula>
    </cfRule>
  </conditionalFormatting>
  <conditionalFormatting sqref="AC138:AD139">
    <cfRule type="cellIs" dxfId="8" priority="3" operator="greaterThan">
      <formula>0</formula>
    </cfRule>
  </conditionalFormatting>
  <conditionalFormatting sqref="AC132:AD133">
    <cfRule type="cellIs" dxfId="7" priority="2" operator="greaterThan">
      <formula>0</formula>
    </cfRule>
  </conditionalFormatting>
  <conditionalFormatting sqref="AC134:AD135">
    <cfRule type="cellIs" dxfId="6" priority="1" operator="greaterThan">
      <formula>0</formula>
    </cfRule>
  </conditionalFormatting>
  <dataValidations count="16">
    <dataValidation type="list" allowBlank="1" showInputMessage="1" showErrorMessage="1" sqref="L12 L108:L147 L17:L101" xr:uid="{00000000-0002-0000-0000-000000000000}">
      <formula1>Sensores</formula1>
    </dataValidation>
    <dataValidation type="list" allowBlank="1" showInputMessage="1" showErrorMessage="1" sqref="V5:Y5 W9:Y9 V6:V101" xr:uid="{00000000-0002-0000-0000-000001000000}">
      <formula1>Valves</formula1>
    </dataValidation>
    <dataValidation type="list" allowBlank="1" showInputMessage="1" showErrorMessage="1" sqref="E153:I153" xr:uid="{00000000-0002-0000-0000-000002000000}">
      <formula1>QE</formula1>
    </dataValidation>
    <dataValidation type="list" allowBlank="1" showInputMessage="1" showErrorMessage="1" sqref="K153" xr:uid="{00000000-0002-0000-0000-000003000000}">
      <formula1>BK_BC</formula1>
    </dataValidation>
    <dataValidation type="list" allowBlank="1" showInputMessage="1" showErrorMessage="1" sqref="L153:U153" xr:uid="{00000000-0002-0000-0000-000004000000}">
      <formula1>Consola_PC</formula1>
    </dataValidation>
    <dataValidation type="list" allowBlank="1" showInputMessage="1" showErrorMessage="1" sqref="K154" xr:uid="{00000000-0002-0000-0000-000005000000}">
      <formula1>RFID</formula1>
    </dataValidation>
    <dataValidation type="list" allowBlank="1" showInputMessage="1" showErrorMessage="1" sqref="E156:J156" xr:uid="{00000000-0002-0000-0000-000007000000}">
      <formula1>Scanner_Estrutura</formula1>
    </dataValidation>
    <dataValidation type="list" allowBlank="1" showInputMessage="1" showErrorMessage="1" sqref="E157:J157" xr:uid="{00000000-0002-0000-0000-000008000000}">
      <formula1>Scanner_EB</formula1>
    </dataValidation>
    <dataValidation type="list" allowBlank="1" showInputMessage="1" showErrorMessage="1" sqref="E154:J154" xr:uid="{00000000-0002-0000-0000-000009000000}">
      <formula1>Dispensador_Etiquetas</formula1>
    </dataValidation>
    <dataValidation type="list" allowBlank="1" showInputMessage="1" showErrorMessage="1" sqref="Q154" xr:uid="{00000000-0002-0000-0000-00000A000000}">
      <formula1>Scanner_Outros</formula1>
    </dataValidation>
    <dataValidation type="list" allowBlank="1" showInputMessage="1" showErrorMessage="1" sqref="J153" xr:uid="{00000000-0002-0000-0000-00000B000000}">
      <formula1>Doc_Lingua</formula1>
    </dataValidation>
    <dataValidation type="list" allowBlank="1" showInputMessage="1" showErrorMessage="1" sqref="E155" xr:uid="{00000000-0002-0000-0000-00000C000000}">
      <formula1>Scanner_Gaveta</formula1>
    </dataValidation>
    <dataValidation type="list" allowBlank="1" showInputMessage="1" showErrorMessage="1" sqref="E158:J158" xr:uid="{00000000-0002-0000-0000-00000D000000}">
      <formula1>Eixo_Electrico</formula1>
    </dataValidation>
    <dataValidation type="list" allowBlank="1" showInputMessage="1" showErrorMessage="1" sqref="B21:B29 B37:B101" xr:uid="{00000000-0002-0000-0000-00000E000000}">
      <formula1>Barras_Sensores</formula1>
    </dataValidation>
    <dataValidation type="list" allowBlank="1" showInputMessage="1" showErrorMessage="1" sqref="T163" xr:uid="{00000000-0002-0000-0000-000010000000}">
      <formula1>Autor</formula1>
    </dataValidation>
    <dataValidation type="list" allowBlank="1" showInputMessage="1" showErrorMessage="1" sqref="Z6:Z68" xr:uid="{00000000-0002-0000-0000-000011000000}">
      <formula1>Status</formula1>
    </dataValidation>
  </dataValidations>
  <pageMargins left="0.39370078740157483" right="0" top="0" bottom="0" header="0.27559055118110237" footer="0.31496062992125984"/>
  <pageSetup paperSize="9" scale="60" orientation="portrait" r:id="rId1"/>
  <headerFooter alignWithMargins="0"/>
  <ignoredErrors>
    <ignoredError sqref="F21:G21 F29:G38 F23:F28 F22 G23:G28 G22 F5:G20 F40:G40 F39 E21:E76 F85:G100 E77:E100 F43:G61 F41:F42 F62:G84" unlockedFormula="1"/>
    <ignoredError sqref="G39" evalError="1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0D82D-52CE-4BC9-B8F2-3A22EF710811}">
  <dimension ref="B1:Q26"/>
  <sheetViews>
    <sheetView workbookViewId="0">
      <selection activeCell="B22" sqref="B22"/>
    </sheetView>
  </sheetViews>
  <sheetFormatPr defaultRowHeight="12.75" x14ac:dyDescent="0.2"/>
  <cols>
    <col min="1" max="1" width="2" customWidth="1"/>
    <col min="2" max="2" width="30.7109375" customWidth="1"/>
    <col min="3" max="3" width="10.7109375" style="256" customWidth="1"/>
    <col min="4" max="4" width="15.7109375" style="256" customWidth="1"/>
    <col min="5" max="5" width="15.7109375" customWidth="1"/>
    <col min="6" max="6" width="15.7109375" style="256" customWidth="1"/>
    <col min="7" max="7" width="15.7109375" style="322" customWidth="1"/>
    <col min="8" max="8" width="15.7109375" customWidth="1"/>
    <col min="9" max="9" width="15.7109375" style="256" customWidth="1"/>
    <col min="10" max="10" width="10.7109375" style="256" customWidth="1"/>
    <col min="11" max="11" width="15.7109375" customWidth="1"/>
    <col min="12" max="12" width="10.7109375" style="256" customWidth="1"/>
    <col min="13" max="13" width="10.7109375" customWidth="1"/>
    <col min="14" max="14" width="10.7109375" style="256" customWidth="1"/>
    <col min="15" max="16" width="15.7109375" style="256" customWidth="1"/>
    <col min="17" max="18" width="25.7109375" customWidth="1"/>
  </cols>
  <sheetData>
    <row r="1" spans="2:17" ht="13.5" thickBot="1" x14ac:dyDescent="0.25"/>
    <row r="2" spans="2:17" x14ac:dyDescent="0.2">
      <c r="B2" s="340"/>
      <c r="C2" s="636" t="s">
        <v>1001</v>
      </c>
      <c r="D2" s="637"/>
      <c r="E2" s="636" t="s">
        <v>997</v>
      </c>
      <c r="F2" s="638"/>
      <c r="G2" s="637"/>
      <c r="H2" s="639" t="s">
        <v>998</v>
      </c>
      <c r="I2" s="639"/>
      <c r="J2" s="639"/>
      <c r="K2" s="639"/>
      <c r="L2" s="639"/>
      <c r="M2" s="639"/>
      <c r="N2" s="639"/>
      <c r="O2" s="639"/>
      <c r="P2" s="639"/>
      <c r="Q2" s="640"/>
    </row>
    <row r="3" spans="2:17" ht="13.5" thickBot="1" x14ac:dyDescent="0.25">
      <c r="B3" s="341" t="s">
        <v>550</v>
      </c>
      <c r="C3" s="323" t="s">
        <v>1012</v>
      </c>
      <c r="D3" s="326" t="s">
        <v>1013</v>
      </c>
      <c r="E3" s="349" t="s">
        <v>232</v>
      </c>
      <c r="F3" s="325" t="s">
        <v>231</v>
      </c>
      <c r="G3" s="350" t="s">
        <v>1003</v>
      </c>
      <c r="H3" s="345" t="s">
        <v>232</v>
      </c>
      <c r="I3" s="325" t="s">
        <v>231</v>
      </c>
      <c r="J3" s="324" t="s">
        <v>999</v>
      </c>
      <c r="K3" s="324" t="s">
        <v>1004</v>
      </c>
      <c r="L3" s="324" t="s">
        <v>973</v>
      </c>
      <c r="M3" s="324" t="s">
        <v>1000</v>
      </c>
      <c r="N3" s="327" t="s">
        <v>232</v>
      </c>
      <c r="O3" s="327" t="s">
        <v>1008</v>
      </c>
      <c r="P3" s="327"/>
      <c r="Q3" s="326" t="s">
        <v>557</v>
      </c>
    </row>
    <row r="4" spans="2:17" x14ac:dyDescent="0.2">
      <c r="B4" s="342" t="s">
        <v>1005</v>
      </c>
      <c r="C4" s="328" t="s">
        <v>215</v>
      </c>
      <c r="D4" s="331" t="s">
        <v>1002</v>
      </c>
      <c r="E4" s="328" t="s">
        <v>535</v>
      </c>
      <c r="F4" s="329" t="s">
        <v>412</v>
      </c>
      <c r="G4" s="351" t="s">
        <v>1015</v>
      </c>
      <c r="H4" s="346" t="s">
        <v>535</v>
      </c>
      <c r="I4" s="329"/>
      <c r="J4" s="329">
        <v>2</v>
      </c>
      <c r="K4" s="329" t="s">
        <v>1007</v>
      </c>
      <c r="L4" s="329">
        <v>4</v>
      </c>
      <c r="M4" s="329" t="s">
        <v>215</v>
      </c>
      <c r="N4" s="330" t="s">
        <v>535</v>
      </c>
      <c r="O4" s="330"/>
      <c r="P4" s="330"/>
      <c r="Q4" s="331" t="s">
        <v>1011</v>
      </c>
    </row>
    <row r="5" spans="2:17" x14ac:dyDescent="0.2">
      <c r="B5" s="343" t="s">
        <v>989</v>
      </c>
      <c r="C5" s="332" t="s">
        <v>215</v>
      </c>
      <c r="D5" s="335" t="s">
        <v>1009</v>
      </c>
      <c r="E5" s="332" t="s">
        <v>535</v>
      </c>
      <c r="F5" s="333" t="s">
        <v>411</v>
      </c>
      <c r="G5" s="352" t="s">
        <v>1006</v>
      </c>
      <c r="H5" s="347" t="s">
        <v>535</v>
      </c>
      <c r="I5" s="333"/>
      <c r="J5" s="333">
        <v>1</v>
      </c>
      <c r="K5" s="333" t="s">
        <v>1010</v>
      </c>
      <c r="L5" s="333">
        <v>6</v>
      </c>
      <c r="M5" s="333" t="s">
        <v>215</v>
      </c>
      <c r="N5" s="334" t="s">
        <v>535</v>
      </c>
      <c r="O5" s="334"/>
      <c r="P5" s="334"/>
      <c r="Q5" s="335"/>
    </row>
    <row r="6" spans="2:17" x14ac:dyDescent="0.2">
      <c r="B6" s="343"/>
      <c r="C6" s="332"/>
      <c r="D6" s="335"/>
      <c r="E6" s="332"/>
      <c r="F6" s="333"/>
      <c r="G6" s="352"/>
      <c r="H6" s="347"/>
      <c r="I6" s="333"/>
      <c r="J6" s="333"/>
      <c r="K6" s="333"/>
      <c r="L6" s="333"/>
      <c r="M6" s="333"/>
      <c r="N6" s="334"/>
      <c r="O6" s="334"/>
      <c r="P6" s="334"/>
      <c r="Q6" s="335"/>
    </row>
    <row r="7" spans="2:17" x14ac:dyDescent="0.2">
      <c r="B7" s="343"/>
      <c r="C7" s="332"/>
      <c r="D7" s="335"/>
      <c r="E7" s="332"/>
      <c r="F7" s="333"/>
      <c r="G7" s="352"/>
      <c r="H7" s="347"/>
      <c r="I7" s="333"/>
      <c r="J7" s="333"/>
      <c r="K7" s="333"/>
      <c r="L7" s="333"/>
      <c r="M7" s="333"/>
      <c r="N7" s="334"/>
      <c r="O7" s="334"/>
      <c r="P7" s="334"/>
      <c r="Q7" s="335"/>
    </row>
    <row r="8" spans="2:17" x14ac:dyDescent="0.2">
      <c r="B8" s="343"/>
      <c r="C8" s="332"/>
      <c r="D8" s="335"/>
      <c r="E8" s="332"/>
      <c r="F8" s="333"/>
      <c r="G8" s="352"/>
      <c r="H8" s="347"/>
      <c r="I8" s="333"/>
      <c r="J8" s="333"/>
      <c r="K8" s="333"/>
      <c r="L8" s="333"/>
      <c r="M8" s="333"/>
      <c r="N8" s="334"/>
      <c r="O8" s="334"/>
      <c r="P8" s="334"/>
      <c r="Q8" s="335"/>
    </row>
    <row r="9" spans="2:17" x14ac:dyDescent="0.2">
      <c r="B9" s="343"/>
      <c r="C9" s="332"/>
      <c r="D9" s="335"/>
      <c r="E9" s="332"/>
      <c r="F9" s="333"/>
      <c r="G9" s="352"/>
      <c r="H9" s="347"/>
      <c r="I9" s="333"/>
      <c r="J9" s="333"/>
      <c r="K9" s="333"/>
      <c r="L9" s="333"/>
      <c r="M9" s="333"/>
      <c r="N9" s="334"/>
      <c r="O9" s="334"/>
      <c r="P9" s="334"/>
      <c r="Q9" s="335"/>
    </row>
    <row r="10" spans="2:17" x14ac:dyDescent="0.2">
      <c r="B10" s="343"/>
      <c r="C10" s="332"/>
      <c r="D10" s="335"/>
      <c r="E10" s="332"/>
      <c r="F10" s="333"/>
      <c r="G10" s="352"/>
      <c r="H10" s="347"/>
      <c r="I10" s="333"/>
      <c r="J10" s="333"/>
      <c r="K10" s="333"/>
      <c r="L10" s="333"/>
      <c r="M10" s="333"/>
      <c r="N10" s="334"/>
      <c r="O10" s="334"/>
      <c r="P10" s="334"/>
      <c r="Q10" s="335"/>
    </row>
    <row r="11" spans="2:17" x14ac:dyDescent="0.2">
      <c r="B11" s="343"/>
      <c r="C11" s="332"/>
      <c r="D11" s="335"/>
      <c r="E11" s="332"/>
      <c r="F11" s="333"/>
      <c r="G11" s="352"/>
      <c r="H11" s="347"/>
      <c r="I11" s="333"/>
      <c r="J11" s="333"/>
      <c r="K11" s="333"/>
      <c r="L11" s="333"/>
      <c r="M11" s="333"/>
      <c r="N11" s="334"/>
      <c r="O11" s="334"/>
      <c r="P11" s="334"/>
      <c r="Q11" s="335"/>
    </row>
    <row r="12" spans="2:17" x14ac:dyDescent="0.2">
      <c r="B12" s="343"/>
      <c r="C12" s="332"/>
      <c r="D12" s="335"/>
      <c r="E12" s="332"/>
      <c r="F12" s="333"/>
      <c r="G12" s="352"/>
      <c r="H12" s="347"/>
      <c r="I12" s="333"/>
      <c r="J12" s="333"/>
      <c r="K12" s="333"/>
      <c r="L12" s="333"/>
      <c r="M12" s="333"/>
      <c r="N12" s="334"/>
      <c r="O12" s="334"/>
      <c r="P12" s="334"/>
      <c r="Q12" s="335"/>
    </row>
    <row r="13" spans="2:17" x14ac:dyDescent="0.2">
      <c r="B13" s="343"/>
      <c r="C13" s="332"/>
      <c r="D13" s="335"/>
      <c r="E13" s="332"/>
      <c r="F13" s="333"/>
      <c r="G13" s="352"/>
      <c r="H13" s="347"/>
      <c r="I13" s="333"/>
      <c r="J13" s="333"/>
      <c r="K13" s="333"/>
      <c r="L13" s="333"/>
      <c r="M13" s="333"/>
      <c r="N13" s="334"/>
      <c r="O13" s="334"/>
      <c r="P13" s="334"/>
      <c r="Q13" s="335"/>
    </row>
    <row r="14" spans="2:17" x14ac:dyDescent="0.2">
      <c r="B14" s="343"/>
      <c r="C14" s="332"/>
      <c r="D14" s="335"/>
      <c r="E14" s="332"/>
      <c r="F14" s="333"/>
      <c r="G14" s="352"/>
      <c r="H14" s="347"/>
      <c r="I14" s="333"/>
      <c r="J14" s="333"/>
      <c r="K14" s="333"/>
      <c r="L14" s="333"/>
      <c r="M14" s="333"/>
      <c r="N14" s="334"/>
      <c r="O14" s="334"/>
      <c r="P14" s="334"/>
      <c r="Q14" s="335"/>
    </row>
    <row r="15" spans="2:17" x14ac:dyDescent="0.2">
      <c r="B15" s="343"/>
      <c r="C15" s="332"/>
      <c r="D15" s="335"/>
      <c r="E15" s="332"/>
      <c r="F15" s="333"/>
      <c r="G15" s="352"/>
      <c r="H15" s="347"/>
      <c r="I15" s="333"/>
      <c r="J15" s="333"/>
      <c r="K15" s="333"/>
      <c r="L15" s="333"/>
      <c r="M15" s="333"/>
      <c r="N15" s="334"/>
      <c r="O15" s="334"/>
      <c r="P15" s="334"/>
      <c r="Q15" s="335"/>
    </row>
    <row r="16" spans="2:17" x14ac:dyDescent="0.2">
      <c r="B16" s="343"/>
      <c r="C16" s="332"/>
      <c r="D16" s="335"/>
      <c r="E16" s="332"/>
      <c r="F16" s="333"/>
      <c r="G16" s="352"/>
      <c r="H16" s="347"/>
      <c r="I16" s="333"/>
      <c r="J16" s="333"/>
      <c r="K16" s="333"/>
      <c r="L16" s="333"/>
      <c r="M16" s="333"/>
      <c r="N16" s="334"/>
      <c r="O16" s="334"/>
      <c r="P16" s="334"/>
      <c r="Q16" s="335"/>
    </row>
    <row r="17" spans="2:17" x14ac:dyDescent="0.2">
      <c r="B17" s="343"/>
      <c r="C17" s="332"/>
      <c r="D17" s="335"/>
      <c r="E17" s="332"/>
      <c r="F17" s="333"/>
      <c r="G17" s="352"/>
      <c r="H17" s="347"/>
      <c r="I17" s="333"/>
      <c r="J17" s="333"/>
      <c r="K17" s="333"/>
      <c r="L17" s="333"/>
      <c r="M17" s="333"/>
      <c r="N17" s="334"/>
      <c r="O17" s="334"/>
      <c r="P17" s="334"/>
      <c r="Q17" s="335"/>
    </row>
    <row r="18" spans="2:17" x14ac:dyDescent="0.2">
      <c r="B18" s="343"/>
      <c r="C18" s="332"/>
      <c r="D18" s="335"/>
      <c r="E18" s="332"/>
      <c r="F18" s="333"/>
      <c r="G18" s="352"/>
      <c r="H18" s="347"/>
      <c r="I18" s="333"/>
      <c r="J18" s="333"/>
      <c r="K18" s="333"/>
      <c r="L18" s="333"/>
      <c r="M18" s="333"/>
      <c r="N18" s="334"/>
      <c r="O18" s="334"/>
      <c r="P18" s="334"/>
      <c r="Q18" s="335"/>
    </row>
    <row r="19" spans="2:17" x14ac:dyDescent="0.2">
      <c r="B19" s="343"/>
      <c r="C19" s="332"/>
      <c r="D19" s="335"/>
      <c r="E19" s="332"/>
      <c r="F19" s="333"/>
      <c r="G19" s="352"/>
      <c r="H19" s="347"/>
      <c r="I19" s="333"/>
      <c r="J19" s="333"/>
      <c r="K19" s="333"/>
      <c r="L19" s="333"/>
      <c r="M19" s="333"/>
      <c r="N19" s="334"/>
      <c r="O19" s="334"/>
      <c r="P19" s="334"/>
      <c r="Q19" s="335"/>
    </row>
    <row r="20" spans="2:17" x14ac:dyDescent="0.2">
      <c r="B20" s="343"/>
      <c r="C20" s="332"/>
      <c r="D20" s="335"/>
      <c r="E20" s="332"/>
      <c r="F20" s="333"/>
      <c r="G20" s="352"/>
      <c r="H20" s="347"/>
      <c r="I20" s="333"/>
      <c r="J20" s="333"/>
      <c r="K20" s="333"/>
      <c r="L20" s="333"/>
      <c r="M20" s="333"/>
      <c r="N20" s="334"/>
      <c r="O20" s="334"/>
      <c r="P20" s="334"/>
      <c r="Q20" s="335"/>
    </row>
    <row r="21" spans="2:17" x14ac:dyDescent="0.2">
      <c r="B21" s="343"/>
      <c r="C21" s="332"/>
      <c r="D21" s="335"/>
      <c r="E21" s="332"/>
      <c r="F21" s="333"/>
      <c r="G21" s="352"/>
      <c r="H21" s="347"/>
      <c r="I21" s="333"/>
      <c r="J21" s="333"/>
      <c r="K21" s="333"/>
      <c r="L21" s="333"/>
      <c r="M21" s="333"/>
      <c r="N21" s="334"/>
      <c r="O21" s="334"/>
      <c r="P21" s="334"/>
      <c r="Q21" s="335"/>
    </row>
    <row r="22" spans="2:17" ht="13.5" thickBot="1" x14ac:dyDescent="0.25">
      <c r="B22" s="344"/>
      <c r="C22" s="336"/>
      <c r="D22" s="339"/>
      <c r="E22" s="336"/>
      <c r="F22" s="337"/>
      <c r="G22" s="353"/>
      <c r="H22" s="348"/>
      <c r="I22" s="337"/>
      <c r="J22" s="337"/>
      <c r="K22" s="337"/>
      <c r="L22" s="337"/>
      <c r="M22" s="337"/>
      <c r="N22" s="338"/>
      <c r="O22" s="338"/>
      <c r="P22" s="338"/>
      <c r="Q22" s="339"/>
    </row>
    <row r="26" spans="2:17" x14ac:dyDescent="0.2">
      <c r="B26" s="354" t="s">
        <v>1014</v>
      </c>
    </row>
  </sheetData>
  <mergeCells count="3">
    <mergeCell ref="C2:D2"/>
    <mergeCell ref="E2:G2"/>
    <mergeCell ref="H2:Q2"/>
  </mergeCells>
  <hyperlinks>
    <hyperlink ref="B26" r:id="rId1" xr:uid="{057D10E7-B14E-4D7E-BAA4-6BB71BAEA6D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>
    <pageSetUpPr fitToPage="1"/>
  </sheetPr>
  <dimension ref="A1:T258"/>
  <sheetViews>
    <sheetView topLeftCell="A7" zoomScale="70" zoomScaleNormal="70" workbookViewId="0">
      <selection activeCell="C53" sqref="C53"/>
    </sheetView>
  </sheetViews>
  <sheetFormatPr defaultRowHeight="12.75" outlineLevelRow="2" x14ac:dyDescent="0.2"/>
  <cols>
    <col min="1" max="1" width="7.5703125" customWidth="1"/>
    <col min="2" max="2" width="3.85546875" style="9" customWidth="1"/>
    <col min="3" max="3" width="7.5703125" style="9" customWidth="1"/>
    <col min="4" max="4" width="0.140625" style="9" customWidth="1"/>
    <col min="5" max="5" width="4" style="9" customWidth="1"/>
    <col min="6" max="6" width="10.7109375" customWidth="1"/>
    <col min="7" max="7" width="18.5703125" style="2" customWidth="1"/>
    <col min="8" max="8" width="14.7109375" style="2" customWidth="1"/>
    <col min="9" max="9" width="7.140625" customWidth="1"/>
    <col min="10" max="10" width="3.85546875" style="9" customWidth="1"/>
    <col min="11" max="11" width="7.5703125" style="55" customWidth="1"/>
    <col min="12" max="12" width="4" style="9" customWidth="1"/>
    <col min="13" max="13" width="10.85546875" style="2" customWidth="1"/>
    <col min="14" max="14" width="18.5703125" style="2" customWidth="1"/>
    <col min="15" max="15" width="13.7109375" style="2" customWidth="1"/>
    <col min="16" max="16" width="0.5703125" style="31" customWidth="1"/>
    <col min="17" max="17" width="9.140625" style="31"/>
  </cols>
  <sheetData>
    <row r="1" spans="1:20" ht="44.25" customHeight="1" thickBot="1" x14ac:dyDescent="0.25">
      <c r="A1" s="29"/>
      <c r="B1" s="29"/>
      <c r="C1" s="467" t="str">
        <f>H129</f>
        <v>LG HV BDU Assembly Line - ST4</v>
      </c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36"/>
      <c r="Q1" s="36"/>
    </row>
    <row r="2" spans="1:20" s="1" customFormat="1" ht="18.75" customHeight="1" x14ac:dyDescent="0.2">
      <c r="A2" s="37"/>
      <c r="B2" s="448" t="s">
        <v>6</v>
      </c>
      <c r="C2" s="475" t="s">
        <v>4</v>
      </c>
      <c r="D2" s="248"/>
      <c r="E2" s="477" t="s">
        <v>52</v>
      </c>
      <c r="F2" s="479" t="s">
        <v>0</v>
      </c>
      <c r="G2" s="480"/>
      <c r="H2" s="481"/>
      <c r="I2" s="38"/>
      <c r="J2" s="448" t="s">
        <v>6</v>
      </c>
      <c r="K2" s="487" t="s">
        <v>5</v>
      </c>
      <c r="L2" s="477" t="s">
        <v>53</v>
      </c>
      <c r="M2" s="479" t="s">
        <v>0</v>
      </c>
      <c r="N2" s="480"/>
      <c r="O2" s="481"/>
      <c r="P2" s="38"/>
      <c r="Q2" s="38"/>
    </row>
    <row r="3" spans="1:20" s="1" customFormat="1" ht="29.25" customHeight="1" thickBot="1" x14ac:dyDescent="0.25">
      <c r="A3" s="37"/>
      <c r="B3" s="449"/>
      <c r="C3" s="476"/>
      <c r="D3" s="73"/>
      <c r="E3" s="478"/>
      <c r="F3" s="482"/>
      <c r="G3" s="483"/>
      <c r="H3" s="484"/>
      <c r="I3" s="38"/>
      <c r="J3" s="449"/>
      <c r="K3" s="488"/>
      <c r="L3" s="478"/>
      <c r="M3" s="482"/>
      <c r="N3" s="483"/>
      <c r="O3" s="484"/>
      <c r="P3" s="38"/>
      <c r="Q3" s="38"/>
    </row>
    <row r="4" spans="1:20" ht="12.75" customHeight="1" x14ac:dyDescent="0.2">
      <c r="A4" s="29"/>
      <c r="B4" s="454" t="s">
        <v>193</v>
      </c>
      <c r="C4" s="12" t="s">
        <v>62</v>
      </c>
      <c r="D4" s="39"/>
      <c r="E4" s="11">
        <v>0</v>
      </c>
      <c r="F4" s="463" t="s">
        <v>258</v>
      </c>
      <c r="G4" s="464" t="s">
        <v>258</v>
      </c>
      <c r="H4" s="465" t="s">
        <v>258</v>
      </c>
      <c r="I4" s="35"/>
      <c r="J4" s="454" t="s">
        <v>192</v>
      </c>
      <c r="K4" s="66" t="s">
        <v>63</v>
      </c>
      <c r="L4" s="11">
        <v>0</v>
      </c>
      <c r="M4" s="463" t="s">
        <v>264</v>
      </c>
      <c r="N4" s="464" t="s">
        <v>264</v>
      </c>
      <c r="O4" s="465" t="s">
        <v>264</v>
      </c>
      <c r="P4" s="36"/>
      <c r="Q4" s="36"/>
      <c r="R4" s="29"/>
      <c r="S4" s="29"/>
      <c r="T4" s="29"/>
    </row>
    <row r="5" spans="1:20" x14ac:dyDescent="0.2">
      <c r="A5" s="29"/>
      <c r="B5" s="455"/>
      <c r="C5" s="13" t="s">
        <v>64</v>
      </c>
      <c r="D5" s="21"/>
      <c r="E5" s="40">
        <v>1</v>
      </c>
      <c r="F5" s="442" t="s">
        <v>259</v>
      </c>
      <c r="G5" s="443" t="s">
        <v>259</v>
      </c>
      <c r="H5" s="444" t="s">
        <v>259</v>
      </c>
      <c r="I5" s="35"/>
      <c r="J5" s="455"/>
      <c r="K5" s="67" t="s">
        <v>71</v>
      </c>
      <c r="L5" s="41">
        <v>1</v>
      </c>
      <c r="M5" s="442" t="s">
        <v>265</v>
      </c>
      <c r="N5" s="443" t="s">
        <v>265</v>
      </c>
      <c r="O5" s="444" t="s">
        <v>265</v>
      </c>
      <c r="P5" s="36"/>
      <c r="Q5" s="36"/>
      <c r="R5" s="29"/>
      <c r="S5" s="29"/>
      <c r="T5" s="29"/>
    </row>
    <row r="6" spans="1:20" x14ac:dyDescent="0.2">
      <c r="A6" s="29"/>
      <c r="B6" s="455"/>
      <c r="C6" s="13" t="s">
        <v>65</v>
      </c>
      <c r="D6" s="23"/>
      <c r="E6" s="41">
        <v>2</v>
      </c>
      <c r="F6" s="405" t="s">
        <v>269</v>
      </c>
      <c r="G6" s="393"/>
      <c r="H6" s="394"/>
      <c r="I6" s="155"/>
      <c r="J6" s="455"/>
      <c r="K6" s="67" t="s">
        <v>72</v>
      </c>
      <c r="L6" s="41">
        <v>2</v>
      </c>
      <c r="M6" s="442" t="s">
        <v>266</v>
      </c>
      <c r="N6" s="443" t="s">
        <v>266</v>
      </c>
      <c r="O6" s="444" t="s">
        <v>266</v>
      </c>
      <c r="P6" s="36"/>
      <c r="Q6" s="36"/>
      <c r="R6" s="29"/>
      <c r="S6" s="29"/>
      <c r="T6" s="29"/>
    </row>
    <row r="7" spans="1:20" x14ac:dyDescent="0.2">
      <c r="A7" s="29"/>
      <c r="B7" s="455"/>
      <c r="C7" s="13" t="s">
        <v>66</v>
      </c>
      <c r="D7" s="23"/>
      <c r="E7" s="40">
        <v>3</v>
      </c>
      <c r="F7" s="392" t="s">
        <v>767</v>
      </c>
      <c r="G7" s="393" t="s">
        <v>260</v>
      </c>
      <c r="H7" s="395" t="s">
        <v>260</v>
      </c>
      <c r="I7" s="155"/>
      <c r="J7" s="455"/>
      <c r="K7" s="67" t="s">
        <v>73</v>
      </c>
      <c r="L7" s="41">
        <v>3</v>
      </c>
      <c r="M7" s="392" t="s">
        <v>796</v>
      </c>
      <c r="N7" s="393"/>
      <c r="O7" s="394"/>
      <c r="P7" s="36"/>
      <c r="Q7" s="36"/>
      <c r="R7" s="29"/>
      <c r="S7" s="29"/>
      <c r="T7" s="29"/>
    </row>
    <row r="8" spans="1:20" x14ac:dyDescent="0.2">
      <c r="A8" s="29"/>
      <c r="B8" s="455"/>
      <c r="C8" s="13" t="s">
        <v>67</v>
      </c>
      <c r="D8" s="42"/>
      <c r="E8" s="41">
        <v>4</v>
      </c>
      <c r="F8" s="629" t="s">
        <v>809</v>
      </c>
      <c r="G8" s="630" t="s">
        <v>270</v>
      </c>
      <c r="H8" s="631" t="s">
        <v>270</v>
      </c>
      <c r="I8" s="155"/>
      <c r="J8" s="455"/>
      <c r="K8" s="67" t="s">
        <v>74</v>
      </c>
      <c r="L8" s="41">
        <v>4</v>
      </c>
      <c r="M8" s="392" t="s">
        <v>797</v>
      </c>
      <c r="N8" s="393"/>
      <c r="O8" s="394"/>
      <c r="P8" s="36"/>
      <c r="Q8" s="35"/>
      <c r="R8" s="29"/>
      <c r="S8" s="29"/>
      <c r="T8" s="29"/>
    </row>
    <row r="9" spans="1:20" x14ac:dyDescent="0.2">
      <c r="A9" s="29"/>
      <c r="B9" s="455"/>
      <c r="C9" s="13" t="s">
        <v>68</v>
      </c>
      <c r="D9" s="23"/>
      <c r="E9" s="40">
        <v>5</v>
      </c>
      <c r="F9" s="405" t="s">
        <v>269</v>
      </c>
      <c r="G9" s="393"/>
      <c r="H9" s="394"/>
      <c r="I9" s="155"/>
      <c r="J9" s="455"/>
      <c r="K9" s="67" t="s">
        <v>75</v>
      </c>
      <c r="L9" s="41">
        <v>5</v>
      </c>
      <c r="M9" s="392" t="s">
        <v>268</v>
      </c>
      <c r="N9" s="393" t="s">
        <v>267</v>
      </c>
      <c r="O9" s="395" t="s">
        <v>267</v>
      </c>
      <c r="P9" s="36"/>
      <c r="Q9" s="35"/>
      <c r="R9" s="29"/>
      <c r="S9" s="29"/>
      <c r="T9" s="29"/>
    </row>
    <row r="10" spans="1:20" x14ac:dyDescent="0.2">
      <c r="A10" s="29"/>
      <c r="B10" s="455"/>
      <c r="C10" s="13" t="s">
        <v>69</v>
      </c>
      <c r="D10" s="25"/>
      <c r="E10" s="41">
        <v>6</v>
      </c>
      <c r="F10" s="629" t="s">
        <v>452</v>
      </c>
      <c r="G10" s="630" t="s">
        <v>260</v>
      </c>
      <c r="H10" s="631" t="s">
        <v>260</v>
      </c>
      <c r="I10" s="155"/>
      <c r="J10" s="455"/>
      <c r="K10" s="67" t="s">
        <v>76</v>
      </c>
      <c r="L10" s="41">
        <v>6</v>
      </c>
      <c r="M10" s="405" t="s">
        <v>269</v>
      </c>
      <c r="N10" s="393" t="s">
        <v>260</v>
      </c>
      <c r="O10" s="394" t="s">
        <v>260</v>
      </c>
      <c r="P10" s="165"/>
      <c r="Q10" s="35"/>
      <c r="R10" s="29"/>
      <c r="S10" s="29"/>
      <c r="T10" s="29"/>
    </row>
    <row r="11" spans="1:20" ht="13.5" thickBot="1" x14ac:dyDescent="0.25">
      <c r="A11" s="29"/>
      <c r="B11" s="455"/>
      <c r="C11" s="14" t="s">
        <v>70</v>
      </c>
      <c r="D11" s="25"/>
      <c r="E11" s="43">
        <v>7</v>
      </c>
      <c r="F11" s="392" t="s">
        <v>637</v>
      </c>
      <c r="G11" s="393" t="s">
        <v>260</v>
      </c>
      <c r="H11" s="395" t="s">
        <v>260</v>
      </c>
      <c r="I11" s="155"/>
      <c r="J11" s="455"/>
      <c r="K11" s="68" t="s">
        <v>77</v>
      </c>
      <c r="L11" s="50">
        <v>7</v>
      </c>
      <c r="M11" s="399" t="s">
        <v>269</v>
      </c>
      <c r="N11" s="440" t="s">
        <v>260</v>
      </c>
      <c r="O11" s="401" t="s">
        <v>260</v>
      </c>
      <c r="P11" s="165"/>
      <c r="Q11" s="36"/>
      <c r="R11" s="29"/>
      <c r="S11" s="29"/>
      <c r="T11" s="29"/>
    </row>
    <row r="12" spans="1:20" s="5" customFormat="1" ht="12.75" customHeight="1" x14ac:dyDescent="0.2">
      <c r="A12" s="44"/>
      <c r="B12" s="455"/>
      <c r="C12" s="17" t="s">
        <v>78</v>
      </c>
      <c r="D12" s="45"/>
      <c r="E12" s="11">
        <v>8</v>
      </c>
      <c r="F12" s="463" t="s">
        <v>760</v>
      </c>
      <c r="G12" s="464" t="s">
        <v>261</v>
      </c>
      <c r="H12" s="465" t="s">
        <v>261</v>
      </c>
      <c r="I12" s="155"/>
      <c r="J12" s="455"/>
      <c r="K12" s="17" t="s">
        <v>110</v>
      </c>
      <c r="L12" s="46">
        <v>8</v>
      </c>
      <c r="M12" s="721" t="s">
        <v>746</v>
      </c>
      <c r="N12" s="722"/>
      <c r="O12" s="723"/>
      <c r="P12" s="155"/>
      <c r="Q12" s="36"/>
      <c r="R12" s="44"/>
      <c r="S12" s="44"/>
      <c r="T12" s="44"/>
    </row>
    <row r="13" spans="1:20" s="5" customFormat="1" x14ac:dyDescent="0.2">
      <c r="A13" s="44"/>
      <c r="B13" s="455"/>
      <c r="C13" s="6" t="s">
        <v>79</v>
      </c>
      <c r="D13" s="23"/>
      <c r="E13" s="40">
        <v>9</v>
      </c>
      <c r="F13" s="442" t="s">
        <v>262</v>
      </c>
      <c r="G13" s="443" t="s">
        <v>262</v>
      </c>
      <c r="H13" s="444" t="s">
        <v>262</v>
      </c>
      <c r="I13" s="155"/>
      <c r="J13" s="455"/>
      <c r="K13" s="6" t="s">
        <v>111</v>
      </c>
      <c r="L13" s="47">
        <v>9</v>
      </c>
      <c r="M13" s="724" t="s">
        <v>808</v>
      </c>
      <c r="N13" s="725"/>
      <c r="O13" s="726"/>
      <c r="P13" s="155"/>
      <c r="Q13" s="36"/>
      <c r="R13" s="44"/>
      <c r="S13" s="44"/>
      <c r="T13" s="44"/>
    </row>
    <row r="14" spans="1:20" s="5" customFormat="1" ht="12.75" customHeight="1" x14ac:dyDescent="0.2">
      <c r="A14" s="44"/>
      <c r="B14" s="455"/>
      <c r="C14" s="6" t="s">
        <v>80</v>
      </c>
      <c r="D14" s="21"/>
      <c r="E14" s="41">
        <v>10</v>
      </c>
      <c r="F14" s="442" t="s">
        <v>748</v>
      </c>
      <c r="G14" s="443" t="s">
        <v>263</v>
      </c>
      <c r="H14" s="444" t="s">
        <v>263</v>
      </c>
      <c r="I14" s="155"/>
      <c r="J14" s="455"/>
      <c r="K14" s="6" t="s">
        <v>112</v>
      </c>
      <c r="L14" s="47">
        <v>10</v>
      </c>
      <c r="M14" s="691" t="s">
        <v>800</v>
      </c>
      <c r="N14" s="692"/>
      <c r="O14" s="693"/>
      <c r="P14" s="48"/>
      <c r="Q14" s="36"/>
      <c r="R14" s="44"/>
      <c r="S14" s="44"/>
      <c r="T14" s="44"/>
    </row>
    <row r="15" spans="1:20" s="5" customFormat="1" ht="12.75" customHeight="1" x14ac:dyDescent="0.2">
      <c r="A15" s="44"/>
      <c r="B15" s="455"/>
      <c r="C15" s="6" t="s">
        <v>81</v>
      </c>
      <c r="D15" s="25"/>
      <c r="E15" s="40">
        <v>11</v>
      </c>
      <c r="F15" s="405" t="s">
        <v>269</v>
      </c>
      <c r="G15" s="393"/>
      <c r="H15" s="394"/>
      <c r="I15" s="155"/>
      <c r="J15" s="455"/>
      <c r="K15" s="6" t="s">
        <v>113</v>
      </c>
      <c r="L15" s="47">
        <v>11</v>
      </c>
      <c r="M15" s="712" t="s">
        <v>747</v>
      </c>
      <c r="N15" s="713"/>
      <c r="O15" s="714"/>
      <c r="P15" s="48"/>
      <c r="Q15" s="35"/>
      <c r="R15" s="44"/>
      <c r="S15" s="44"/>
      <c r="T15" s="44"/>
    </row>
    <row r="16" spans="1:20" s="5" customFormat="1" x14ac:dyDescent="0.2">
      <c r="A16" s="44"/>
      <c r="B16" s="455"/>
      <c r="C16" s="6" t="s">
        <v>82</v>
      </c>
      <c r="D16" s="23"/>
      <c r="E16" s="41">
        <v>12</v>
      </c>
      <c r="F16" s="718" t="s">
        <v>848</v>
      </c>
      <c r="G16" s="719"/>
      <c r="H16" s="720"/>
      <c r="I16" s="155"/>
      <c r="J16" s="455"/>
      <c r="K16" s="6" t="s">
        <v>114</v>
      </c>
      <c r="L16" s="157">
        <v>12</v>
      </c>
      <c r="M16" s="392" t="s">
        <v>802</v>
      </c>
      <c r="N16" s="393"/>
      <c r="O16" s="395"/>
      <c r="P16" s="48"/>
      <c r="Q16" s="36"/>
      <c r="R16" s="44"/>
      <c r="S16" s="44"/>
      <c r="T16" s="44"/>
    </row>
    <row r="17" spans="1:20" s="5" customFormat="1" x14ac:dyDescent="0.2">
      <c r="A17" s="44"/>
      <c r="B17" s="455"/>
      <c r="C17" s="6" t="s">
        <v>83</v>
      </c>
      <c r="D17" s="42"/>
      <c r="E17" s="40">
        <v>13</v>
      </c>
      <c r="F17" s="718" t="s">
        <v>776</v>
      </c>
      <c r="G17" s="719" t="s">
        <v>777</v>
      </c>
      <c r="H17" s="720" t="s">
        <v>777</v>
      </c>
      <c r="I17" s="155"/>
      <c r="J17" s="455"/>
      <c r="K17" s="6" t="s">
        <v>115</v>
      </c>
      <c r="L17" s="157">
        <v>13</v>
      </c>
      <c r="M17" s="621" t="s">
        <v>798</v>
      </c>
      <c r="N17" s="622"/>
      <c r="O17" s="623"/>
      <c r="P17" s="48"/>
      <c r="Q17" s="36"/>
      <c r="R17" s="44"/>
      <c r="S17" s="44"/>
      <c r="T17" s="44"/>
    </row>
    <row r="18" spans="1:20" s="5" customFormat="1" x14ac:dyDescent="0.2">
      <c r="A18" s="44"/>
      <c r="B18" s="455"/>
      <c r="C18" s="6" t="s">
        <v>84</v>
      </c>
      <c r="D18" s="23"/>
      <c r="E18" s="41">
        <v>14</v>
      </c>
      <c r="F18" s="718" t="s">
        <v>778</v>
      </c>
      <c r="G18" s="719" t="s">
        <v>777</v>
      </c>
      <c r="H18" s="720" t="s">
        <v>777</v>
      </c>
      <c r="I18" s="155"/>
      <c r="J18" s="455"/>
      <c r="K18" s="6" t="s">
        <v>116</v>
      </c>
      <c r="L18" s="157">
        <v>14</v>
      </c>
      <c r="M18" s="392" t="s">
        <v>849</v>
      </c>
      <c r="N18" s="393"/>
      <c r="O18" s="395"/>
      <c r="P18" s="48"/>
      <c r="Q18" s="35"/>
      <c r="R18" s="44"/>
      <c r="S18" s="44"/>
      <c r="T18" s="44"/>
    </row>
    <row r="19" spans="1:20" s="5" customFormat="1" ht="13.5" customHeight="1" thickBot="1" x14ac:dyDescent="0.25">
      <c r="A19" s="44"/>
      <c r="B19" s="456"/>
      <c r="C19" s="7" t="s">
        <v>85</v>
      </c>
      <c r="D19" s="21"/>
      <c r="E19" s="49">
        <v>15</v>
      </c>
      <c r="F19" s="439" t="s">
        <v>779</v>
      </c>
      <c r="G19" s="440"/>
      <c r="H19" s="441"/>
      <c r="I19" s="155"/>
      <c r="J19" s="456"/>
      <c r="K19" s="8" t="s">
        <v>117</v>
      </c>
      <c r="L19" s="158">
        <v>15</v>
      </c>
      <c r="M19" s="439" t="s">
        <v>799</v>
      </c>
      <c r="N19" s="440"/>
      <c r="O19" s="441"/>
      <c r="P19" s="48"/>
      <c r="Q19" s="166"/>
      <c r="R19" s="44"/>
      <c r="S19" s="44"/>
      <c r="T19" s="44"/>
    </row>
    <row r="20" spans="1:20" ht="12.75" customHeight="1" x14ac:dyDescent="0.2">
      <c r="A20" s="29"/>
      <c r="B20" s="454" t="s">
        <v>193</v>
      </c>
      <c r="C20" s="17" t="s">
        <v>86</v>
      </c>
      <c r="D20" s="22"/>
      <c r="E20" s="11">
        <v>16</v>
      </c>
      <c r="F20" s="709" t="s">
        <v>734</v>
      </c>
      <c r="G20" s="710"/>
      <c r="H20" s="711"/>
      <c r="I20" s="155"/>
      <c r="J20" s="454" t="s">
        <v>192</v>
      </c>
      <c r="K20" s="18" t="s">
        <v>118</v>
      </c>
      <c r="L20" s="51">
        <v>16</v>
      </c>
      <c r="M20" s="407" t="s">
        <v>269</v>
      </c>
      <c r="N20" s="622"/>
      <c r="O20" s="409"/>
      <c r="P20" s="48"/>
      <c r="Q20" s="166"/>
      <c r="R20" s="29"/>
      <c r="S20" s="29"/>
      <c r="T20" s="29"/>
    </row>
    <row r="21" spans="1:20" x14ac:dyDescent="0.2">
      <c r="A21" s="29"/>
      <c r="B21" s="455"/>
      <c r="C21" s="6" t="s">
        <v>87</v>
      </c>
      <c r="D21" s="23"/>
      <c r="E21" s="40">
        <v>17</v>
      </c>
      <c r="F21" s="712" t="s">
        <v>735</v>
      </c>
      <c r="G21" s="713"/>
      <c r="H21" s="714"/>
      <c r="I21" s="155"/>
      <c r="J21" s="455"/>
      <c r="K21" s="6" t="s">
        <v>119</v>
      </c>
      <c r="L21" s="41">
        <v>17</v>
      </c>
      <c r="M21" s="405" t="s">
        <v>269</v>
      </c>
      <c r="N21" s="393"/>
      <c r="O21" s="394"/>
      <c r="P21" s="48"/>
      <c r="Q21" s="166"/>
      <c r="R21" s="29"/>
      <c r="S21" s="29"/>
      <c r="T21" s="29"/>
    </row>
    <row r="22" spans="1:20" x14ac:dyDescent="0.2">
      <c r="A22" s="29"/>
      <c r="B22" s="455"/>
      <c r="C22" s="6" t="s">
        <v>88</v>
      </c>
      <c r="D22" s="24"/>
      <c r="E22" s="41">
        <v>18</v>
      </c>
      <c r="F22" s="706" t="s">
        <v>780</v>
      </c>
      <c r="G22" s="707"/>
      <c r="H22" s="708"/>
      <c r="I22" s="155"/>
      <c r="J22" s="455"/>
      <c r="K22" s="6" t="s">
        <v>120</v>
      </c>
      <c r="L22" s="41">
        <v>18</v>
      </c>
      <c r="M22" s="405" t="s">
        <v>269</v>
      </c>
      <c r="N22" s="393"/>
      <c r="O22" s="394"/>
      <c r="P22" s="36"/>
      <c r="Q22" s="166"/>
      <c r="R22" s="29"/>
      <c r="S22" s="29"/>
      <c r="T22" s="29"/>
    </row>
    <row r="23" spans="1:20" s="5" customFormat="1" x14ac:dyDescent="0.2">
      <c r="A23" s="44"/>
      <c r="B23" s="455"/>
      <c r="C23" s="6" t="s">
        <v>89</v>
      </c>
      <c r="D23" s="164"/>
      <c r="E23" s="40">
        <v>19</v>
      </c>
      <c r="F23" s="706" t="s">
        <v>781</v>
      </c>
      <c r="G23" s="707"/>
      <c r="H23" s="708"/>
      <c r="I23" s="155"/>
      <c r="J23" s="455"/>
      <c r="K23" s="6" t="s">
        <v>121</v>
      </c>
      <c r="L23" s="41">
        <v>19</v>
      </c>
      <c r="M23" s="405" t="s">
        <v>269</v>
      </c>
      <c r="N23" s="393"/>
      <c r="O23" s="394"/>
      <c r="P23" s="48"/>
      <c r="Q23" s="166"/>
      <c r="R23" s="44"/>
      <c r="S23" s="44"/>
      <c r="T23" s="44"/>
    </row>
    <row r="24" spans="1:20" s="5" customFormat="1" x14ac:dyDescent="0.2">
      <c r="A24" s="44"/>
      <c r="B24" s="455"/>
      <c r="C24" s="6" t="s">
        <v>90</v>
      </c>
      <c r="D24" s="24"/>
      <c r="E24" s="41">
        <v>20</v>
      </c>
      <c r="F24" s="706" t="s">
        <v>784</v>
      </c>
      <c r="G24" s="707"/>
      <c r="H24" s="708"/>
      <c r="I24" s="155"/>
      <c r="J24" s="455"/>
      <c r="K24" s="6" t="s">
        <v>122</v>
      </c>
      <c r="L24" s="40">
        <v>20</v>
      </c>
      <c r="M24" s="405" t="s">
        <v>269</v>
      </c>
      <c r="N24" s="393"/>
      <c r="O24" s="394"/>
      <c r="P24" s="155"/>
      <c r="Q24" s="166"/>
      <c r="R24" s="44"/>
      <c r="S24" s="44"/>
      <c r="T24" s="44"/>
    </row>
    <row r="25" spans="1:20" s="5" customFormat="1" ht="12" customHeight="1" x14ac:dyDescent="0.2">
      <c r="A25" s="44"/>
      <c r="B25" s="455"/>
      <c r="C25" s="6" t="s">
        <v>91</v>
      </c>
      <c r="D25" s="164"/>
      <c r="E25" s="40">
        <v>21</v>
      </c>
      <c r="F25" s="706" t="s">
        <v>785</v>
      </c>
      <c r="G25" s="707"/>
      <c r="H25" s="708"/>
      <c r="I25" s="155"/>
      <c r="J25" s="455"/>
      <c r="K25" s="6" t="s">
        <v>123</v>
      </c>
      <c r="L25" s="40">
        <v>21</v>
      </c>
      <c r="M25" s="405" t="s">
        <v>269</v>
      </c>
      <c r="N25" s="393"/>
      <c r="O25" s="394"/>
      <c r="P25" s="48"/>
      <c r="Q25" s="166"/>
      <c r="R25" s="44"/>
      <c r="S25" s="44"/>
      <c r="T25" s="44"/>
    </row>
    <row r="26" spans="1:20" s="5" customFormat="1" x14ac:dyDescent="0.2">
      <c r="A26" s="44"/>
      <c r="B26" s="455"/>
      <c r="C26" s="6" t="s">
        <v>92</v>
      </c>
      <c r="D26" s="23"/>
      <c r="E26" s="41">
        <v>22</v>
      </c>
      <c r="F26" s="691" t="s">
        <v>792</v>
      </c>
      <c r="G26" s="692"/>
      <c r="H26" s="693"/>
      <c r="I26" s="155"/>
      <c r="J26" s="455"/>
      <c r="K26" s="6" t="s">
        <v>124</v>
      </c>
      <c r="L26" s="40">
        <v>22</v>
      </c>
      <c r="M26" s="405" t="s">
        <v>269</v>
      </c>
      <c r="N26" s="393"/>
      <c r="O26" s="394"/>
      <c r="P26" s="48"/>
      <c r="Q26" s="166"/>
      <c r="R26" s="44"/>
      <c r="S26" s="44"/>
      <c r="T26" s="44"/>
    </row>
    <row r="27" spans="1:20" s="5" customFormat="1" ht="13.5" thickBot="1" x14ac:dyDescent="0.25">
      <c r="A27" s="44"/>
      <c r="B27" s="455"/>
      <c r="C27" s="8" t="s">
        <v>93</v>
      </c>
      <c r="D27" s="20"/>
      <c r="E27" s="43">
        <v>23</v>
      </c>
      <c r="F27" s="700" t="s">
        <v>793</v>
      </c>
      <c r="G27" s="701"/>
      <c r="H27" s="702"/>
      <c r="I27" s="155"/>
      <c r="J27" s="455"/>
      <c r="K27" s="8" t="s">
        <v>125</v>
      </c>
      <c r="L27" s="43">
        <v>23</v>
      </c>
      <c r="M27" s="399" t="s">
        <v>269</v>
      </c>
      <c r="N27" s="440"/>
      <c r="O27" s="401"/>
      <c r="P27" s="155"/>
      <c r="Q27" s="166"/>
      <c r="R27" s="44"/>
      <c r="S27" s="44"/>
      <c r="T27" s="44"/>
    </row>
    <row r="28" spans="1:20" s="5" customFormat="1" ht="12.75" customHeight="1" x14ac:dyDescent="0.2">
      <c r="A28" s="29"/>
      <c r="B28" s="455"/>
      <c r="C28" s="18" t="s">
        <v>94</v>
      </c>
      <c r="D28" s="22"/>
      <c r="E28" s="51">
        <v>24</v>
      </c>
      <c r="F28" s="715" t="s">
        <v>782</v>
      </c>
      <c r="G28" s="716"/>
      <c r="H28" s="717"/>
      <c r="I28" s="155"/>
      <c r="J28" s="455"/>
      <c r="K28" s="17" t="s">
        <v>126</v>
      </c>
      <c r="L28" s="167">
        <v>24</v>
      </c>
      <c r="M28" s="392" t="s">
        <v>750</v>
      </c>
      <c r="N28" s="393"/>
      <c r="O28" s="395"/>
      <c r="P28" s="155"/>
      <c r="Q28" s="166"/>
      <c r="R28" s="44"/>
      <c r="S28" s="44"/>
      <c r="T28" s="44"/>
    </row>
    <row r="29" spans="1:20" s="5" customFormat="1" x14ac:dyDescent="0.2">
      <c r="A29" s="29"/>
      <c r="B29" s="455"/>
      <c r="C29" s="18" t="s">
        <v>95</v>
      </c>
      <c r="D29" s="162"/>
      <c r="E29" s="40">
        <v>25</v>
      </c>
      <c r="F29" s="706" t="s">
        <v>783</v>
      </c>
      <c r="G29" s="707"/>
      <c r="H29" s="708"/>
      <c r="I29" s="155"/>
      <c r="J29" s="455"/>
      <c r="K29" s="18" t="s">
        <v>127</v>
      </c>
      <c r="L29" s="40">
        <v>25</v>
      </c>
      <c r="M29" s="389" t="s">
        <v>751</v>
      </c>
      <c r="N29" s="390"/>
      <c r="O29" s="391"/>
      <c r="P29" s="155"/>
      <c r="Q29" s="166"/>
      <c r="R29" s="44"/>
      <c r="S29" s="44"/>
      <c r="T29" s="44"/>
    </row>
    <row r="30" spans="1:20" s="5" customFormat="1" ht="12.75" customHeight="1" x14ac:dyDescent="0.2">
      <c r="A30" s="29"/>
      <c r="B30" s="455"/>
      <c r="C30" s="18" t="s">
        <v>96</v>
      </c>
      <c r="D30" s="162"/>
      <c r="E30" s="41">
        <v>26</v>
      </c>
      <c r="F30" s="703" t="s">
        <v>786</v>
      </c>
      <c r="G30" s="704"/>
      <c r="H30" s="705"/>
      <c r="I30" s="155"/>
      <c r="J30" s="455"/>
      <c r="K30" s="18" t="s">
        <v>128</v>
      </c>
      <c r="L30" s="40">
        <v>26</v>
      </c>
      <c r="M30" s="389" t="s">
        <v>859</v>
      </c>
      <c r="N30" s="390"/>
      <c r="O30" s="391"/>
      <c r="P30" s="48"/>
      <c r="Q30" s="166"/>
      <c r="R30" s="44"/>
      <c r="S30" s="44"/>
      <c r="T30" s="44"/>
    </row>
    <row r="31" spans="1:20" s="5" customFormat="1" ht="12.75" customHeight="1" x14ac:dyDescent="0.2">
      <c r="A31" s="44"/>
      <c r="B31" s="455"/>
      <c r="C31" s="18" t="s">
        <v>97</v>
      </c>
      <c r="D31" s="162"/>
      <c r="E31" s="40">
        <v>27</v>
      </c>
      <c r="F31" s="706" t="s">
        <v>787</v>
      </c>
      <c r="G31" s="707"/>
      <c r="H31" s="708"/>
      <c r="I31" s="155"/>
      <c r="J31" s="455"/>
      <c r="K31" s="18" t="s">
        <v>129</v>
      </c>
      <c r="L31" s="40">
        <v>27</v>
      </c>
      <c r="M31" s="405" t="s">
        <v>269</v>
      </c>
      <c r="N31" s="393"/>
      <c r="O31" s="394"/>
      <c r="P31" s="48"/>
      <c r="Q31" s="166"/>
      <c r="R31" s="44"/>
      <c r="S31" s="44"/>
      <c r="T31" s="44"/>
    </row>
    <row r="32" spans="1:20" s="5" customFormat="1" x14ac:dyDescent="0.2">
      <c r="A32" s="44"/>
      <c r="B32" s="455"/>
      <c r="C32" s="18" t="s">
        <v>98</v>
      </c>
      <c r="D32" s="168"/>
      <c r="E32" s="41">
        <v>28</v>
      </c>
      <c r="F32" s="691" t="s">
        <v>765</v>
      </c>
      <c r="G32" s="692"/>
      <c r="H32" s="693"/>
      <c r="I32" s="155"/>
      <c r="J32" s="455"/>
      <c r="K32" s="18" t="s">
        <v>130</v>
      </c>
      <c r="L32" s="40">
        <v>28</v>
      </c>
      <c r="M32" s="405" t="s">
        <v>269</v>
      </c>
      <c r="N32" s="393"/>
      <c r="O32" s="394"/>
      <c r="P32" s="48"/>
      <c r="Q32" s="166"/>
      <c r="R32" s="44"/>
      <c r="S32" s="44"/>
      <c r="T32" s="44"/>
    </row>
    <row r="33" spans="1:20" s="5" customFormat="1" x14ac:dyDescent="0.2">
      <c r="A33" s="44"/>
      <c r="B33" s="455"/>
      <c r="C33" s="18" t="s">
        <v>99</v>
      </c>
      <c r="D33" s="162"/>
      <c r="E33" s="40">
        <v>29</v>
      </c>
      <c r="F33" s="691" t="s">
        <v>766</v>
      </c>
      <c r="G33" s="692"/>
      <c r="H33" s="693"/>
      <c r="I33" s="155"/>
      <c r="J33" s="455"/>
      <c r="K33" s="18" t="s">
        <v>131</v>
      </c>
      <c r="L33" s="40">
        <v>29</v>
      </c>
      <c r="M33" s="405" t="s">
        <v>269</v>
      </c>
      <c r="N33" s="393"/>
      <c r="O33" s="394"/>
      <c r="P33" s="48"/>
      <c r="Q33" s="35"/>
      <c r="R33" s="44"/>
      <c r="S33" s="44"/>
      <c r="T33" s="44"/>
    </row>
    <row r="34" spans="1:20" s="5" customFormat="1" x14ac:dyDescent="0.2">
      <c r="A34" s="44"/>
      <c r="B34" s="455"/>
      <c r="C34" s="18" t="s">
        <v>100</v>
      </c>
      <c r="D34" s="168"/>
      <c r="E34" s="41">
        <v>30</v>
      </c>
      <c r="F34" s="688" t="s">
        <v>794</v>
      </c>
      <c r="G34" s="689"/>
      <c r="H34" s="690"/>
      <c r="I34" s="155"/>
      <c r="J34" s="455"/>
      <c r="K34" s="18" t="s">
        <v>132</v>
      </c>
      <c r="L34" s="40">
        <v>30</v>
      </c>
      <c r="M34" s="405" t="s">
        <v>269</v>
      </c>
      <c r="N34" s="393"/>
      <c r="O34" s="394"/>
      <c r="P34" s="48"/>
      <c r="Q34" s="36"/>
      <c r="R34" s="44"/>
      <c r="S34" s="44"/>
      <c r="T34" s="44"/>
    </row>
    <row r="35" spans="1:20" s="5" customFormat="1" ht="13.5" thickBot="1" x14ac:dyDescent="0.25">
      <c r="A35" s="44"/>
      <c r="B35" s="456"/>
      <c r="C35" s="18" t="s">
        <v>101</v>
      </c>
      <c r="D35" s="162"/>
      <c r="E35" s="43">
        <v>31</v>
      </c>
      <c r="F35" s="700" t="s">
        <v>795</v>
      </c>
      <c r="G35" s="701"/>
      <c r="H35" s="702"/>
      <c r="I35" s="155"/>
      <c r="J35" s="456"/>
      <c r="K35" s="62" t="s">
        <v>133</v>
      </c>
      <c r="L35" s="43">
        <v>31</v>
      </c>
      <c r="M35" s="399" t="s">
        <v>269</v>
      </c>
      <c r="N35" s="440"/>
      <c r="O35" s="401"/>
      <c r="P35" s="48"/>
      <c r="Q35" s="35"/>
      <c r="R35" s="44"/>
      <c r="S35" s="44"/>
      <c r="T35" s="44"/>
    </row>
    <row r="36" spans="1:20" ht="12.75" customHeight="1" x14ac:dyDescent="0.2">
      <c r="A36" s="29"/>
      <c r="B36" s="454" t="s">
        <v>193</v>
      </c>
      <c r="C36" s="17" t="s">
        <v>102</v>
      </c>
      <c r="D36" s="169"/>
      <c r="E36" s="11">
        <v>32</v>
      </c>
      <c r="F36" s="688" t="s">
        <v>814</v>
      </c>
      <c r="G36" s="689"/>
      <c r="H36" s="690"/>
      <c r="I36" s="155"/>
      <c r="J36" s="454" t="s">
        <v>192</v>
      </c>
      <c r="K36" s="65" t="s">
        <v>151</v>
      </c>
      <c r="L36" s="170">
        <v>32</v>
      </c>
      <c r="M36" s="679" t="s">
        <v>860</v>
      </c>
      <c r="N36" s="680"/>
      <c r="O36" s="681"/>
      <c r="P36" s="36"/>
      <c r="Q36" s="166"/>
      <c r="R36" s="29"/>
      <c r="S36" s="29"/>
      <c r="T36" s="29"/>
    </row>
    <row r="37" spans="1:20" x14ac:dyDescent="0.2">
      <c r="A37" s="29"/>
      <c r="B37" s="455"/>
      <c r="C37" s="6" t="s">
        <v>103</v>
      </c>
      <c r="D37" s="162"/>
      <c r="E37" s="40">
        <v>33</v>
      </c>
      <c r="F37" s="691" t="s">
        <v>815</v>
      </c>
      <c r="G37" s="692"/>
      <c r="H37" s="693"/>
      <c r="I37" s="155"/>
      <c r="J37" s="455"/>
      <c r="K37" s="65" t="s">
        <v>152</v>
      </c>
      <c r="L37" s="41">
        <v>33</v>
      </c>
      <c r="M37" s="629" t="s">
        <v>861</v>
      </c>
      <c r="N37" s="630"/>
      <c r="O37" s="631"/>
      <c r="P37" s="36"/>
      <c r="Q37" s="166"/>
      <c r="R37" s="29"/>
      <c r="S37" s="29"/>
      <c r="T37" s="29"/>
    </row>
    <row r="38" spans="1:20" x14ac:dyDescent="0.2">
      <c r="A38" s="29"/>
      <c r="B38" s="455"/>
      <c r="C38" s="6" t="s">
        <v>104</v>
      </c>
      <c r="D38" s="171"/>
      <c r="E38" s="41">
        <v>34</v>
      </c>
      <c r="F38" s="691" t="s">
        <v>816</v>
      </c>
      <c r="G38" s="692"/>
      <c r="H38" s="693"/>
      <c r="I38" s="155"/>
      <c r="J38" s="455"/>
      <c r="K38" s="65" t="s">
        <v>153</v>
      </c>
      <c r="L38" s="41">
        <v>34</v>
      </c>
      <c r="M38" s="629" t="s">
        <v>862</v>
      </c>
      <c r="N38" s="630"/>
      <c r="O38" s="631"/>
      <c r="P38" s="36"/>
      <c r="Q38" s="35"/>
      <c r="R38" s="29"/>
      <c r="S38" s="29"/>
      <c r="T38" s="29"/>
    </row>
    <row r="39" spans="1:20" s="5" customFormat="1" x14ac:dyDescent="0.2">
      <c r="A39" s="44"/>
      <c r="B39" s="455"/>
      <c r="C39" s="6" t="s">
        <v>105</v>
      </c>
      <c r="D39" s="97"/>
      <c r="E39" s="40">
        <v>35</v>
      </c>
      <c r="F39" s="691" t="s">
        <v>817</v>
      </c>
      <c r="G39" s="692"/>
      <c r="H39" s="693"/>
      <c r="I39" s="155"/>
      <c r="J39" s="455"/>
      <c r="K39" s="65" t="s">
        <v>154</v>
      </c>
      <c r="L39" s="41">
        <v>35</v>
      </c>
      <c r="M39" s="629" t="s">
        <v>863</v>
      </c>
      <c r="N39" s="630"/>
      <c r="O39" s="631"/>
      <c r="P39" s="155"/>
      <c r="Q39" s="36"/>
      <c r="R39" s="44"/>
      <c r="S39" s="44"/>
      <c r="T39" s="44"/>
    </row>
    <row r="40" spans="1:20" s="5" customFormat="1" x14ac:dyDescent="0.2">
      <c r="A40" s="44"/>
      <c r="B40" s="455"/>
      <c r="C40" s="6" t="s">
        <v>106</v>
      </c>
      <c r="D40" s="171"/>
      <c r="E40" s="41">
        <v>36</v>
      </c>
      <c r="F40" s="405" t="s">
        <v>269</v>
      </c>
      <c r="G40" s="393" t="s">
        <v>260</v>
      </c>
      <c r="H40" s="394" t="s">
        <v>260</v>
      </c>
      <c r="I40" s="155"/>
      <c r="J40" s="455"/>
      <c r="K40" s="65" t="s">
        <v>155</v>
      </c>
      <c r="L40" s="41">
        <v>36</v>
      </c>
      <c r="M40" s="629" t="s">
        <v>864</v>
      </c>
      <c r="N40" s="630"/>
      <c r="O40" s="631"/>
      <c r="P40" s="172"/>
      <c r="Q40" s="35"/>
      <c r="R40" s="44"/>
      <c r="S40" s="44"/>
      <c r="T40" s="44"/>
    </row>
    <row r="41" spans="1:20" s="5" customFormat="1" x14ac:dyDescent="0.2">
      <c r="A41" s="44"/>
      <c r="B41" s="455"/>
      <c r="C41" s="6" t="s">
        <v>107</v>
      </c>
      <c r="D41" s="97"/>
      <c r="E41" s="40">
        <v>37</v>
      </c>
      <c r="F41" s="405" t="s">
        <v>269</v>
      </c>
      <c r="G41" s="393" t="s">
        <v>260</v>
      </c>
      <c r="H41" s="394" t="s">
        <v>260</v>
      </c>
      <c r="I41" s="155"/>
      <c r="J41" s="455"/>
      <c r="K41" s="65" t="s">
        <v>156</v>
      </c>
      <c r="L41" s="41">
        <v>37</v>
      </c>
      <c r="M41" s="629" t="s">
        <v>865</v>
      </c>
      <c r="N41" s="630"/>
      <c r="O41" s="631"/>
      <c r="P41" s="165"/>
      <c r="Q41" s="36"/>
      <c r="R41" s="44"/>
      <c r="S41" s="44"/>
      <c r="T41" s="44"/>
    </row>
    <row r="42" spans="1:20" s="5" customFormat="1" x14ac:dyDescent="0.2">
      <c r="A42" s="44"/>
      <c r="B42" s="455"/>
      <c r="C42" s="6" t="s">
        <v>108</v>
      </c>
      <c r="D42" s="162"/>
      <c r="E42" s="41">
        <v>38</v>
      </c>
      <c r="F42" s="405" t="s">
        <v>269</v>
      </c>
      <c r="G42" s="393" t="s">
        <v>260</v>
      </c>
      <c r="H42" s="394" t="s">
        <v>260</v>
      </c>
      <c r="I42" s="155"/>
      <c r="J42" s="455"/>
      <c r="K42" s="65" t="s">
        <v>157</v>
      </c>
      <c r="L42" s="41">
        <v>38</v>
      </c>
      <c r="M42" s="629" t="s">
        <v>866</v>
      </c>
      <c r="N42" s="630"/>
      <c r="O42" s="631"/>
      <c r="P42" s="48"/>
      <c r="Q42" s="36"/>
      <c r="R42" s="44"/>
      <c r="S42" s="44"/>
      <c r="T42" s="44"/>
    </row>
    <row r="43" spans="1:20" s="5" customFormat="1" ht="13.5" thickBot="1" x14ac:dyDescent="0.25">
      <c r="A43" s="44"/>
      <c r="B43" s="455"/>
      <c r="C43" s="8" t="s">
        <v>109</v>
      </c>
      <c r="D43" s="163"/>
      <c r="E43" s="43">
        <v>39</v>
      </c>
      <c r="F43" s="399" t="s">
        <v>269</v>
      </c>
      <c r="G43" s="440" t="s">
        <v>260</v>
      </c>
      <c r="H43" s="401" t="s">
        <v>260</v>
      </c>
      <c r="I43" s="155"/>
      <c r="J43" s="455"/>
      <c r="K43" s="92" t="s">
        <v>158</v>
      </c>
      <c r="L43" s="50">
        <v>39</v>
      </c>
      <c r="M43" s="670" t="s">
        <v>867</v>
      </c>
      <c r="N43" s="671"/>
      <c r="O43" s="672"/>
      <c r="P43" s="155"/>
      <c r="Q43" s="36"/>
      <c r="R43" s="44"/>
      <c r="S43" s="44"/>
      <c r="T43" s="44"/>
    </row>
    <row r="44" spans="1:20" s="5" customFormat="1" ht="12.75" customHeight="1" x14ac:dyDescent="0.2">
      <c r="A44" s="44"/>
      <c r="B44" s="455"/>
      <c r="C44" s="18" t="s">
        <v>135</v>
      </c>
      <c r="D44" s="169"/>
      <c r="E44" s="51">
        <v>40</v>
      </c>
      <c r="F44" s="694" t="s">
        <v>788</v>
      </c>
      <c r="G44" s="695"/>
      <c r="H44" s="696"/>
      <c r="I44" s="155"/>
      <c r="J44" s="455"/>
      <c r="K44" s="93" t="s">
        <v>159</v>
      </c>
      <c r="L44" s="51">
        <v>40</v>
      </c>
      <c r="M44" s="679" t="s">
        <v>868</v>
      </c>
      <c r="N44" s="680"/>
      <c r="O44" s="681"/>
      <c r="P44" s="155"/>
      <c r="Q44" s="36"/>
      <c r="R44" s="44"/>
      <c r="S44" s="44"/>
      <c r="T44" s="44"/>
    </row>
    <row r="45" spans="1:20" s="5" customFormat="1" x14ac:dyDescent="0.2">
      <c r="A45" s="44"/>
      <c r="B45" s="455"/>
      <c r="C45" s="18" t="s">
        <v>136</v>
      </c>
      <c r="D45" s="162"/>
      <c r="E45" s="40">
        <v>41</v>
      </c>
      <c r="F45" s="697" t="s">
        <v>789</v>
      </c>
      <c r="G45" s="698"/>
      <c r="H45" s="699"/>
      <c r="I45" s="155"/>
      <c r="J45" s="455"/>
      <c r="K45" s="94" t="s">
        <v>160</v>
      </c>
      <c r="L45" s="41">
        <v>41</v>
      </c>
      <c r="M45" s="629" t="s">
        <v>869</v>
      </c>
      <c r="N45" s="630"/>
      <c r="O45" s="631"/>
      <c r="P45" s="155"/>
      <c r="Q45" s="35"/>
      <c r="R45" s="44"/>
      <c r="S45" s="44"/>
      <c r="T45" s="44"/>
    </row>
    <row r="46" spans="1:20" s="5" customFormat="1" ht="12.75" customHeight="1" x14ac:dyDescent="0.2">
      <c r="A46" s="44"/>
      <c r="B46" s="455"/>
      <c r="C46" s="18" t="s">
        <v>137</v>
      </c>
      <c r="D46" s="23"/>
      <c r="E46" s="41">
        <v>42</v>
      </c>
      <c r="F46" s="688" t="s">
        <v>831</v>
      </c>
      <c r="G46" s="689"/>
      <c r="H46" s="690"/>
      <c r="I46" s="155"/>
      <c r="J46" s="455"/>
      <c r="K46" s="94" t="s">
        <v>161</v>
      </c>
      <c r="L46" s="41">
        <v>42</v>
      </c>
      <c r="M46" s="629" t="s">
        <v>870</v>
      </c>
      <c r="N46" s="630"/>
      <c r="O46" s="631"/>
      <c r="P46" s="48"/>
      <c r="Q46" s="36"/>
      <c r="R46" s="44"/>
      <c r="S46" s="44"/>
      <c r="T46" s="44"/>
    </row>
    <row r="47" spans="1:20" s="5" customFormat="1" ht="12.75" customHeight="1" x14ac:dyDescent="0.2">
      <c r="A47" s="44"/>
      <c r="B47" s="455"/>
      <c r="C47" s="18" t="s">
        <v>138</v>
      </c>
      <c r="D47" s="164"/>
      <c r="E47" s="40">
        <v>43</v>
      </c>
      <c r="F47" s="691" t="s">
        <v>759</v>
      </c>
      <c r="G47" s="692"/>
      <c r="H47" s="693"/>
      <c r="I47" s="155"/>
      <c r="J47" s="455"/>
      <c r="K47" s="94" t="s">
        <v>162</v>
      </c>
      <c r="L47" s="41">
        <v>43</v>
      </c>
      <c r="M47" s="629" t="s">
        <v>871</v>
      </c>
      <c r="N47" s="630"/>
      <c r="O47" s="631"/>
      <c r="P47" s="48"/>
      <c r="Q47" s="155"/>
      <c r="R47" s="44"/>
      <c r="S47" s="44"/>
      <c r="T47" s="44"/>
    </row>
    <row r="48" spans="1:20" s="5" customFormat="1" x14ac:dyDescent="0.2">
      <c r="A48" s="44"/>
      <c r="B48" s="455"/>
      <c r="C48" s="18" t="s">
        <v>139</v>
      </c>
      <c r="D48" s="24"/>
      <c r="E48" s="41">
        <v>44</v>
      </c>
      <c r="F48" s="691" t="s">
        <v>790</v>
      </c>
      <c r="G48" s="692"/>
      <c r="H48" s="693"/>
      <c r="I48" s="155"/>
      <c r="J48" s="455"/>
      <c r="K48" s="94" t="s">
        <v>163</v>
      </c>
      <c r="L48" s="41">
        <v>44</v>
      </c>
      <c r="M48" s="629" t="s">
        <v>872</v>
      </c>
      <c r="N48" s="630"/>
      <c r="O48" s="631"/>
      <c r="P48" s="48"/>
      <c r="Q48" s="36"/>
      <c r="R48" s="44"/>
      <c r="S48" s="44"/>
      <c r="T48" s="44"/>
    </row>
    <row r="49" spans="1:20" s="5" customFormat="1" x14ac:dyDescent="0.2">
      <c r="A49" s="44"/>
      <c r="B49" s="455"/>
      <c r="C49" s="18" t="s">
        <v>140</v>
      </c>
      <c r="D49" s="164"/>
      <c r="E49" s="40">
        <v>45</v>
      </c>
      <c r="F49" s="392" t="s">
        <v>791</v>
      </c>
      <c r="G49" s="393" t="s">
        <v>260</v>
      </c>
      <c r="H49" s="395" t="s">
        <v>260</v>
      </c>
      <c r="I49" s="155"/>
      <c r="J49" s="455"/>
      <c r="K49" s="94" t="s">
        <v>164</v>
      </c>
      <c r="L49" s="41">
        <v>45</v>
      </c>
      <c r="M49" s="629" t="s">
        <v>873</v>
      </c>
      <c r="N49" s="630"/>
      <c r="O49" s="631"/>
      <c r="P49" s="48"/>
      <c r="Q49" s="36"/>
      <c r="R49" s="44"/>
      <c r="S49" s="44"/>
      <c r="T49" s="44"/>
    </row>
    <row r="50" spans="1:20" s="5" customFormat="1" x14ac:dyDescent="0.2">
      <c r="A50" s="44"/>
      <c r="B50" s="455"/>
      <c r="C50" s="18" t="s">
        <v>141</v>
      </c>
      <c r="D50" s="23"/>
      <c r="E50" s="41">
        <v>46</v>
      </c>
      <c r="F50" s="405" t="s">
        <v>269</v>
      </c>
      <c r="G50" s="393" t="s">
        <v>260</v>
      </c>
      <c r="H50" s="394" t="s">
        <v>260</v>
      </c>
      <c r="I50" s="155"/>
      <c r="J50" s="455"/>
      <c r="K50" s="94" t="s">
        <v>165</v>
      </c>
      <c r="L50" s="41">
        <v>46</v>
      </c>
      <c r="M50" s="629" t="s">
        <v>874</v>
      </c>
      <c r="N50" s="630"/>
      <c r="O50" s="631"/>
      <c r="P50" s="48"/>
      <c r="Q50" s="35"/>
      <c r="R50" s="44"/>
      <c r="S50" s="44"/>
      <c r="T50" s="44"/>
    </row>
    <row r="51" spans="1:20" s="5" customFormat="1" ht="13.5" thickBot="1" x14ac:dyDescent="0.25">
      <c r="A51" s="44"/>
      <c r="B51" s="456"/>
      <c r="C51" s="62" t="s">
        <v>142</v>
      </c>
      <c r="D51" s="20"/>
      <c r="E51" s="43">
        <v>47</v>
      </c>
      <c r="F51" s="399" t="s">
        <v>269</v>
      </c>
      <c r="G51" s="440" t="s">
        <v>260</v>
      </c>
      <c r="H51" s="401" t="s">
        <v>260</v>
      </c>
      <c r="I51" s="155"/>
      <c r="J51" s="456"/>
      <c r="K51" s="95" t="s">
        <v>166</v>
      </c>
      <c r="L51" s="41">
        <v>47</v>
      </c>
      <c r="M51" s="670" t="s">
        <v>875</v>
      </c>
      <c r="N51" s="671"/>
      <c r="O51" s="672"/>
      <c r="P51" s="48"/>
      <c r="Q51" s="36"/>
      <c r="R51" s="44"/>
      <c r="S51" s="44"/>
      <c r="T51" s="44"/>
    </row>
    <row r="52" spans="1:20" ht="12.75" customHeight="1" x14ac:dyDescent="0.2">
      <c r="A52" s="29"/>
      <c r="B52" s="454" t="s">
        <v>193</v>
      </c>
      <c r="C52" s="17" t="s">
        <v>143</v>
      </c>
      <c r="D52" s="22"/>
      <c r="E52" s="11">
        <v>48</v>
      </c>
      <c r="F52" s="679" t="s">
        <v>876</v>
      </c>
      <c r="G52" s="680"/>
      <c r="H52" s="681"/>
      <c r="I52" s="35"/>
      <c r="J52" s="454"/>
      <c r="K52" s="64" t="s">
        <v>167</v>
      </c>
      <c r="L52" s="11">
        <v>48</v>
      </c>
      <c r="M52" s="682"/>
      <c r="N52" s="683"/>
      <c r="O52" s="684"/>
      <c r="P52" s="36"/>
      <c r="Q52" s="36"/>
      <c r="R52" s="29"/>
      <c r="S52" s="29"/>
      <c r="T52" s="29"/>
    </row>
    <row r="53" spans="1:20" x14ac:dyDescent="0.2">
      <c r="A53" s="29"/>
      <c r="B53" s="455"/>
      <c r="C53" s="18" t="s">
        <v>144</v>
      </c>
      <c r="D53" s="23"/>
      <c r="E53" s="40">
        <v>49</v>
      </c>
      <c r="F53" s="629" t="s">
        <v>877</v>
      </c>
      <c r="G53" s="630"/>
      <c r="H53" s="631"/>
      <c r="I53" s="35"/>
      <c r="J53" s="455"/>
      <c r="K53" s="63" t="s">
        <v>168</v>
      </c>
      <c r="L53" s="41">
        <v>49</v>
      </c>
      <c r="M53" s="673"/>
      <c r="N53" s="674"/>
      <c r="O53" s="675"/>
      <c r="P53" s="36"/>
      <c r="Q53" s="36"/>
      <c r="R53" s="29"/>
      <c r="S53" s="29"/>
      <c r="T53" s="29"/>
    </row>
    <row r="54" spans="1:20" x14ac:dyDescent="0.2">
      <c r="A54" s="29"/>
      <c r="B54" s="455"/>
      <c r="C54" s="18" t="s">
        <v>145</v>
      </c>
      <c r="D54" s="24"/>
      <c r="E54" s="40">
        <v>50</v>
      </c>
      <c r="F54" s="629" t="s">
        <v>878</v>
      </c>
      <c r="G54" s="630"/>
      <c r="H54" s="631"/>
      <c r="I54" s="35"/>
      <c r="J54" s="455"/>
      <c r="K54" s="63" t="s">
        <v>169</v>
      </c>
      <c r="L54" s="41">
        <v>50</v>
      </c>
      <c r="M54" s="673"/>
      <c r="N54" s="674"/>
      <c r="O54" s="675"/>
      <c r="P54" s="36"/>
      <c r="Q54" s="36"/>
      <c r="R54" s="29"/>
      <c r="S54" s="29"/>
      <c r="T54" s="29"/>
    </row>
    <row r="55" spans="1:20" s="5" customFormat="1" x14ac:dyDescent="0.2">
      <c r="A55" s="44"/>
      <c r="B55" s="455"/>
      <c r="C55" s="18" t="s">
        <v>146</v>
      </c>
      <c r="D55" s="164"/>
      <c r="E55" s="40">
        <v>51</v>
      </c>
      <c r="F55" s="629" t="s">
        <v>879</v>
      </c>
      <c r="G55" s="630"/>
      <c r="H55" s="631"/>
      <c r="I55" s="155"/>
      <c r="J55" s="455"/>
      <c r="K55" s="63" t="s">
        <v>170</v>
      </c>
      <c r="L55" s="41">
        <v>51</v>
      </c>
      <c r="M55" s="673"/>
      <c r="N55" s="674"/>
      <c r="O55" s="675"/>
      <c r="P55" s="155"/>
      <c r="Q55" s="35"/>
      <c r="R55" s="44"/>
      <c r="S55" s="44"/>
      <c r="T55" s="44"/>
    </row>
    <row r="56" spans="1:20" s="5" customFormat="1" x14ac:dyDescent="0.2">
      <c r="A56" s="44"/>
      <c r="B56" s="455"/>
      <c r="C56" s="18" t="s">
        <v>147</v>
      </c>
      <c r="D56" s="24"/>
      <c r="E56" s="40">
        <v>52</v>
      </c>
      <c r="F56" s="629" t="s">
        <v>880</v>
      </c>
      <c r="G56" s="630"/>
      <c r="H56" s="631"/>
      <c r="I56" s="155"/>
      <c r="J56" s="455"/>
      <c r="K56" s="63" t="s">
        <v>171</v>
      </c>
      <c r="L56" s="41">
        <v>52</v>
      </c>
      <c r="M56" s="673"/>
      <c r="N56" s="674"/>
      <c r="O56" s="675"/>
      <c r="P56" s="48"/>
      <c r="Q56" s="48"/>
      <c r="R56" s="44"/>
      <c r="S56" s="44"/>
      <c r="T56" s="44"/>
    </row>
    <row r="57" spans="1:20" s="5" customFormat="1" x14ac:dyDescent="0.2">
      <c r="A57" s="44"/>
      <c r="B57" s="455"/>
      <c r="C57" s="18" t="s">
        <v>148</v>
      </c>
      <c r="D57" s="164"/>
      <c r="E57" s="40">
        <v>53</v>
      </c>
      <c r="F57" s="629" t="s">
        <v>881</v>
      </c>
      <c r="G57" s="630"/>
      <c r="H57" s="631"/>
      <c r="I57" s="155"/>
      <c r="J57" s="455"/>
      <c r="K57" s="63" t="s">
        <v>172</v>
      </c>
      <c r="L57" s="41">
        <v>53</v>
      </c>
      <c r="M57" s="673"/>
      <c r="N57" s="674"/>
      <c r="O57" s="675"/>
      <c r="P57" s="48"/>
      <c r="Q57" s="48"/>
      <c r="R57" s="44"/>
      <c r="S57" s="44"/>
      <c r="T57" s="44"/>
    </row>
    <row r="58" spans="1:20" s="5" customFormat="1" x14ac:dyDescent="0.2">
      <c r="A58" s="44"/>
      <c r="B58" s="455"/>
      <c r="C58" s="18" t="s">
        <v>149</v>
      </c>
      <c r="D58" s="23"/>
      <c r="E58" s="40">
        <v>54</v>
      </c>
      <c r="F58" s="629" t="s">
        <v>882</v>
      </c>
      <c r="G58" s="630"/>
      <c r="H58" s="631"/>
      <c r="I58" s="155"/>
      <c r="J58" s="455"/>
      <c r="K58" s="63" t="s">
        <v>173</v>
      </c>
      <c r="L58" s="41">
        <v>54</v>
      </c>
      <c r="M58" s="676"/>
      <c r="N58" s="677"/>
      <c r="O58" s="678"/>
      <c r="P58" s="48"/>
      <c r="Q58" s="48"/>
      <c r="R58" s="44"/>
      <c r="S58" s="44"/>
      <c r="T58" s="44"/>
    </row>
    <row r="59" spans="1:20" s="5" customFormat="1" ht="13.5" customHeight="1" thickBot="1" x14ac:dyDescent="0.25">
      <c r="A59" s="44"/>
      <c r="B59" s="455"/>
      <c r="C59" s="62" t="s">
        <v>150</v>
      </c>
      <c r="D59" s="20"/>
      <c r="E59" s="43">
        <v>55</v>
      </c>
      <c r="F59" s="670" t="s">
        <v>883</v>
      </c>
      <c r="G59" s="671"/>
      <c r="H59" s="672"/>
      <c r="I59" s="155"/>
      <c r="J59" s="455"/>
      <c r="K59" s="117" t="s">
        <v>174</v>
      </c>
      <c r="L59" s="50">
        <v>55</v>
      </c>
      <c r="M59" s="685"/>
      <c r="N59" s="686"/>
      <c r="O59" s="687"/>
      <c r="P59" s="155"/>
      <c r="Q59" s="34"/>
      <c r="R59" s="44"/>
      <c r="S59" s="44"/>
      <c r="T59" s="44"/>
    </row>
    <row r="60" spans="1:20" ht="12.75" customHeight="1" x14ac:dyDescent="0.2">
      <c r="A60" s="29"/>
      <c r="B60" s="455"/>
      <c r="C60" s="17" t="s">
        <v>281</v>
      </c>
      <c r="D60" s="164"/>
      <c r="E60" s="11">
        <v>56</v>
      </c>
      <c r="F60" s="679" t="s">
        <v>884</v>
      </c>
      <c r="G60" s="680"/>
      <c r="H60" s="681"/>
      <c r="I60" s="35"/>
      <c r="J60" s="455"/>
      <c r="K60" s="17" t="s">
        <v>289</v>
      </c>
      <c r="L60" s="11">
        <v>56</v>
      </c>
      <c r="M60" s="676"/>
      <c r="N60" s="677"/>
      <c r="O60" s="678"/>
      <c r="P60" s="36"/>
      <c r="Q60" s="34"/>
      <c r="R60" s="29"/>
      <c r="S60" s="29"/>
      <c r="T60" s="29"/>
    </row>
    <row r="61" spans="1:20" x14ac:dyDescent="0.2">
      <c r="A61" s="29"/>
      <c r="B61" s="455"/>
      <c r="C61" s="18" t="s">
        <v>282</v>
      </c>
      <c r="D61" s="24"/>
      <c r="E61" s="40">
        <v>57</v>
      </c>
      <c r="F61" s="629" t="s">
        <v>885</v>
      </c>
      <c r="G61" s="630"/>
      <c r="H61" s="631"/>
      <c r="I61" s="35"/>
      <c r="J61" s="455"/>
      <c r="K61" s="6" t="s">
        <v>290</v>
      </c>
      <c r="L61" s="40">
        <v>57</v>
      </c>
      <c r="M61" s="673"/>
      <c r="N61" s="674"/>
      <c r="O61" s="675"/>
      <c r="P61" s="36"/>
      <c r="Q61" s="34"/>
      <c r="R61" s="29"/>
      <c r="S61" s="29"/>
      <c r="T61" s="29"/>
    </row>
    <row r="62" spans="1:20" x14ac:dyDescent="0.2">
      <c r="A62" s="29"/>
      <c r="B62" s="455"/>
      <c r="C62" s="18" t="s">
        <v>283</v>
      </c>
      <c r="D62" s="164"/>
      <c r="E62" s="40">
        <v>58</v>
      </c>
      <c r="F62" s="629" t="s">
        <v>886</v>
      </c>
      <c r="G62" s="630"/>
      <c r="H62" s="631"/>
      <c r="I62" s="35"/>
      <c r="J62" s="455"/>
      <c r="K62" s="6" t="s">
        <v>291</v>
      </c>
      <c r="L62" s="40">
        <v>58</v>
      </c>
      <c r="M62" s="673"/>
      <c r="N62" s="674"/>
      <c r="O62" s="675"/>
      <c r="P62" s="36"/>
      <c r="Q62" s="34"/>
      <c r="R62" s="29"/>
      <c r="S62" s="29"/>
      <c r="T62" s="29"/>
    </row>
    <row r="63" spans="1:20" s="5" customFormat="1" x14ac:dyDescent="0.2">
      <c r="A63" s="44"/>
      <c r="B63" s="455"/>
      <c r="C63" s="18" t="s">
        <v>284</v>
      </c>
      <c r="D63" s="23"/>
      <c r="E63" s="40">
        <v>59</v>
      </c>
      <c r="F63" s="629" t="s">
        <v>887</v>
      </c>
      <c r="G63" s="630"/>
      <c r="H63" s="631"/>
      <c r="I63" s="155"/>
      <c r="J63" s="455"/>
      <c r="K63" s="6" t="s">
        <v>292</v>
      </c>
      <c r="L63" s="40">
        <v>59</v>
      </c>
      <c r="M63" s="676"/>
      <c r="N63" s="677"/>
      <c r="O63" s="678"/>
      <c r="P63" s="155"/>
      <c r="Q63" s="34"/>
      <c r="R63" s="44"/>
      <c r="S63" s="44"/>
      <c r="T63" s="44"/>
    </row>
    <row r="64" spans="1:20" s="5" customFormat="1" x14ac:dyDescent="0.2">
      <c r="A64" s="44"/>
      <c r="B64" s="455"/>
      <c r="C64" s="18" t="s">
        <v>285</v>
      </c>
      <c r="D64" s="24"/>
      <c r="E64" s="40">
        <v>60</v>
      </c>
      <c r="F64" s="629" t="s">
        <v>888</v>
      </c>
      <c r="G64" s="630"/>
      <c r="H64" s="631"/>
      <c r="I64" s="155"/>
      <c r="J64" s="455"/>
      <c r="K64" s="6" t="s">
        <v>293</v>
      </c>
      <c r="L64" s="40">
        <v>60</v>
      </c>
      <c r="M64" s="673"/>
      <c r="N64" s="674"/>
      <c r="O64" s="675"/>
      <c r="P64" s="48"/>
      <c r="Q64" s="34"/>
      <c r="R64" s="44"/>
      <c r="S64" s="44"/>
      <c r="T64" s="44"/>
    </row>
    <row r="65" spans="1:20" s="5" customFormat="1" x14ac:dyDescent="0.2">
      <c r="A65" s="44"/>
      <c r="B65" s="455"/>
      <c r="C65" s="18" t="s">
        <v>286</v>
      </c>
      <c r="D65" s="24"/>
      <c r="E65" s="40">
        <v>61</v>
      </c>
      <c r="F65" s="629" t="s">
        <v>889</v>
      </c>
      <c r="G65" s="630"/>
      <c r="H65" s="631"/>
      <c r="I65" s="155"/>
      <c r="J65" s="455"/>
      <c r="K65" s="6" t="s">
        <v>294</v>
      </c>
      <c r="L65" s="40">
        <v>61</v>
      </c>
      <c r="M65" s="673"/>
      <c r="N65" s="674"/>
      <c r="O65" s="675"/>
      <c r="P65" s="48"/>
      <c r="Q65" s="34"/>
      <c r="R65" s="44"/>
      <c r="S65" s="44"/>
      <c r="T65" s="44"/>
    </row>
    <row r="66" spans="1:20" s="5" customFormat="1" x14ac:dyDescent="0.2">
      <c r="A66" s="44"/>
      <c r="B66" s="455"/>
      <c r="C66" s="18" t="s">
        <v>287</v>
      </c>
      <c r="D66" s="24"/>
      <c r="E66" s="40">
        <v>62</v>
      </c>
      <c r="F66" s="629" t="s">
        <v>890</v>
      </c>
      <c r="G66" s="630"/>
      <c r="H66" s="631"/>
      <c r="I66" s="155"/>
      <c r="J66" s="455"/>
      <c r="K66" s="6" t="s">
        <v>295</v>
      </c>
      <c r="L66" s="40">
        <v>62</v>
      </c>
      <c r="M66" s="629"/>
      <c r="N66" s="630"/>
      <c r="O66" s="631"/>
      <c r="P66" s="48"/>
      <c r="Q66" s="34"/>
      <c r="R66" s="44"/>
      <c r="S66" s="44"/>
      <c r="T66" s="44"/>
    </row>
    <row r="67" spans="1:20" s="5" customFormat="1" ht="13.5" customHeight="1" thickBot="1" x14ac:dyDescent="0.25">
      <c r="A67" s="44"/>
      <c r="B67" s="456"/>
      <c r="C67" s="62" t="s">
        <v>288</v>
      </c>
      <c r="D67" s="24"/>
      <c r="E67" s="43">
        <v>63</v>
      </c>
      <c r="F67" s="629" t="s">
        <v>891</v>
      </c>
      <c r="G67" s="630"/>
      <c r="H67" s="631"/>
      <c r="I67" s="155"/>
      <c r="J67" s="455"/>
      <c r="K67" s="8" t="s">
        <v>296</v>
      </c>
      <c r="L67" s="43">
        <v>63</v>
      </c>
      <c r="M67" s="670"/>
      <c r="N67" s="671"/>
      <c r="O67" s="672"/>
      <c r="P67" s="155"/>
      <c r="Q67" s="34"/>
      <c r="R67" s="44"/>
      <c r="S67" s="44"/>
      <c r="T67" s="44"/>
    </row>
    <row r="68" spans="1:20" s="5" customFormat="1" ht="12.75" customHeight="1" outlineLevel="1" thickBot="1" x14ac:dyDescent="0.25">
      <c r="A68" s="44"/>
      <c r="B68" s="454"/>
      <c r="C68" s="17" t="s">
        <v>330</v>
      </c>
      <c r="D68" s="26"/>
      <c r="E68" s="167">
        <v>64</v>
      </c>
      <c r="F68" s="399" t="s">
        <v>269</v>
      </c>
      <c r="G68" s="440" t="s">
        <v>260</v>
      </c>
      <c r="H68" s="401" t="s">
        <v>260</v>
      </c>
      <c r="I68" s="155"/>
      <c r="J68" s="454"/>
      <c r="K68" s="64" t="s">
        <v>331</v>
      </c>
      <c r="L68" s="51">
        <v>64</v>
      </c>
      <c r="M68" s="422"/>
      <c r="N68" s="423"/>
      <c r="O68" s="424"/>
      <c r="P68" s="155"/>
      <c r="Q68" s="34"/>
      <c r="R68" s="44"/>
      <c r="S68" s="44"/>
      <c r="T68" s="44"/>
    </row>
    <row r="69" spans="1:20" s="5" customFormat="1" ht="12.75" customHeight="1" outlineLevel="1" x14ac:dyDescent="0.2">
      <c r="A69" s="44"/>
      <c r="B69" s="455"/>
      <c r="C69" s="18" t="s">
        <v>332</v>
      </c>
      <c r="D69" s="24"/>
      <c r="E69" s="40">
        <v>65</v>
      </c>
      <c r="F69" s="392"/>
      <c r="G69" s="393"/>
      <c r="H69" s="395"/>
      <c r="I69" s="155"/>
      <c r="J69" s="455"/>
      <c r="K69" s="63" t="s">
        <v>333</v>
      </c>
      <c r="L69" s="40">
        <v>65</v>
      </c>
      <c r="M69" s="392"/>
      <c r="N69" s="393"/>
      <c r="O69" s="395"/>
      <c r="P69" s="155"/>
      <c r="Q69" s="34"/>
      <c r="R69" s="44"/>
      <c r="S69" s="44"/>
      <c r="T69" s="44"/>
    </row>
    <row r="70" spans="1:20" s="5" customFormat="1" ht="12.75" customHeight="1" outlineLevel="1" x14ac:dyDescent="0.2">
      <c r="A70" s="44"/>
      <c r="B70" s="455"/>
      <c r="C70" s="18" t="s">
        <v>334</v>
      </c>
      <c r="D70" s="24"/>
      <c r="E70" s="40">
        <v>66</v>
      </c>
      <c r="F70" s="629"/>
      <c r="G70" s="630"/>
      <c r="H70" s="631"/>
      <c r="I70" s="155"/>
      <c r="J70" s="455"/>
      <c r="K70" s="63" t="s">
        <v>335</v>
      </c>
      <c r="L70" s="40">
        <v>66</v>
      </c>
      <c r="M70" s="392"/>
      <c r="N70" s="393"/>
      <c r="O70" s="395"/>
      <c r="P70" s="48"/>
      <c r="Q70" s="34"/>
      <c r="R70" s="44"/>
      <c r="S70" s="44"/>
      <c r="T70" s="44"/>
    </row>
    <row r="71" spans="1:20" s="5" customFormat="1" ht="12.75" customHeight="1" outlineLevel="1" x14ac:dyDescent="0.2">
      <c r="A71" s="44"/>
      <c r="B71" s="455"/>
      <c r="C71" s="18" t="s">
        <v>336</v>
      </c>
      <c r="D71" s="24"/>
      <c r="E71" s="40">
        <v>67</v>
      </c>
      <c r="F71" s="392"/>
      <c r="G71" s="393"/>
      <c r="H71" s="395"/>
      <c r="I71" s="155"/>
      <c r="J71" s="455"/>
      <c r="K71" s="63" t="s">
        <v>337</v>
      </c>
      <c r="L71" s="40">
        <v>67</v>
      </c>
      <c r="M71" s="392"/>
      <c r="N71" s="393"/>
      <c r="O71" s="395"/>
      <c r="P71" s="48"/>
      <c r="Q71" s="34"/>
      <c r="R71" s="44"/>
      <c r="S71" s="44"/>
      <c r="T71" s="44"/>
    </row>
    <row r="72" spans="1:20" s="5" customFormat="1" ht="12.75" customHeight="1" outlineLevel="1" x14ac:dyDescent="0.2">
      <c r="A72" s="44"/>
      <c r="B72" s="455"/>
      <c r="C72" s="18" t="s">
        <v>338</v>
      </c>
      <c r="D72" s="23"/>
      <c r="E72" s="40">
        <v>68</v>
      </c>
      <c r="F72" s="392"/>
      <c r="G72" s="393"/>
      <c r="H72" s="394"/>
      <c r="I72" s="155"/>
      <c r="J72" s="455"/>
      <c r="K72" s="63" t="s">
        <v>339</v>
      </c>
      <c r="L72" s="40">
        <v>68</v>
      </c>
      <c r="M72" s="392"/>
      <c r="N72" s="393"/>
      <c r="O72" s="395"/>
      <c r="P72" s="48"/>
      <c r="Q72" s="34"/>
      <c r="R72" s="44"/>
      <c r="S72" s="44"/>
      <c r="T72" s="44"/>
    </row>
    <row r="73" spans="1:20" s="5" customFormat="1" ht="12.75" customHeight="1" outlineLevel="1" x14ac:dyDescent="0.2">
      <c r="A73" s="44"/>
      <c r="B73" s="455"/>
      <c r="C73" s="18" t="s">
        <v>340</v>
      </c>
      <c r="D73" s="23"/>
      <c r="E73" s="40">
        <v>69</v>
      </c>
      <c r="F73" s="392"/>
      <c r="G73" s="393"/>
      <c r="H73" s="394"/>
      <c r="I73" s="155"/>
      <c r="J73" s="455"/>
      <c r="K73" s="63" t="s">
        <v>341</v>
      </c>
      <c r="L73" s="40">
        <v>69</v>
      </c>
      <c r="M73" s="392"/>
      <c r="N73" s="393"/>
      <c r="O73" s="395"/>
      <c r="P73" s="48"/>
      <c r="Q73" s="34"/>
      <c r="R73" s="44"/>
      <c r="S73" s="44"/>
      <c r="T73" s="44"/>
    </row>
    <row r="74" spans="1:20" s="5" customFormat="1" ht="12.75" customHeight="1" outlineLevel="1" x14ac:dyDescent="0.2">
      <c r="A74" s="44"/>
      <c r="B74" s="455"/>
      <c r="C74" s="18" t="s">
        <v>342</v>
      </c>
      <c r="D74" s="23"/>
      <c r="E74" s="40">
        <v>70</v>
      </c>
      <c r="F74" s="392"/>
      <c r="G74" s="393"/>
      <c r="H74" s="394"/>
      <c r="I74" s="155"/>
      <c r="J74" s="455"/>
      <c r="K74" s="63" t="s">
        <v>343</v>
      </c>
      <c r="L74" s="40">
        <v>70</v>
      </c>
      <c r="M74" s="392"/>
      <c r="N74" s="393"/>
      <c r="O74" s="395"/>
      <c r="P74" s="48"/>
      <c r="Q74" s="34"/>
      <c r="R74" s="44"/>
      <c r="S74" s="44"/>
      <c r="T74" s="44"/>
    </row>
    <row r="75" spans="1:20" s="5" customFormat="1" ht="13.5" customHeight="1" outlineLevel="1" thickBot="1" x14ac:dyDescent="0.25">
      <c r="A75" s="44"/>
      <c r="B75" s="455"/>
      <c r="C75" s="62" t="s">
        <v>344</v>
      </c>
      <c r="D75" s="20"/>
      <c r="E75" s="43">
        <v>71</v>
      </c>
      <c r="F75" s="392"/>
      <c r="G75" s="393"/>
      <c r="H75" s="394"/>
      <c r="I75" s="155"/>
      <c r="J75" s="455"/>
      <c r="K75" s="117" t="s">
        <v>345</v>
      </c>
      <c r="L75" s="43">
        <v>71</v>
      </c>
      <c r="M75" s="439"/>
      <c r="N75" s="440"/>
      <c r="O75" s="441"/>
      <c r="P75" s="48"/>
      <c r="Q75" s="34"/>
      <c r="R75" s="44"/>
      <c r="S75" s="44"/>
      <c r="T75" s="44"/>
    </row>
    <row r="76" spans="1:20" s="5" customFormat="1" ht="12.75" customHeight="1" outlineLevel="1" x14ac:dyDescent="0.2">
      <c r="A76" s="44"/>
      <c r="B76" s="455"/>
      <c r="C76" s="17" t="s">
        <v>346</v>
      </c>
      <c r="D76" s="26"/>
      <c r="E76" s="167">
        <v>72</v>
      </c>
      <c r="F76" s="422"/>
      <c r="G76" s="423"/>
      <c r="H76" s="424"/>
      <c r="I76" s="155"/>
      <c r="J76" s="455"/>
      <c r="K76" s="65" t="s">
        <v>347</v>
      </c>
      <c r="L76" s="167">
        <v>72</v>
      </c>
      <c r="M76" s="621"/>
      <c r="N76" s="622"/>
      <c r="O76" s="623"/>
      <c r="P76" s="155"/>
      <c r="Q76" s="34"/>
      <c r="R76" s="44"/>
      <c r="S76" s="44"/>
      <c r="T76" s="44"/>
    </row>
    <row r="77" spans="1:20" s="5" customFormat="1" ht="12.75" customHeight="1" outlineLevel="1" x14ac:dyDescent="0.2">
      <c r="A77" s="44"/>
      <c r="B77" s="455"/>
      <c r="C77" s="18" t="s">
        <v>348</v>
      </c>
      <c r="D77" s="24"/>
      <c r="E77" s="40">
        <v>73</v>
      </c>
      <c r="F77" s="392"/>
      <c r="G77" s="393"/>
      <c r="H77" s="395"/>
      <c r="I77" s="155"/>
      <c r="J77" s="455"/>
      <c r="K77" s="63" t="s">
        <v>349</v>
      </c>
      <c r="L77" s="40">
        <v>73</v>
      </c>
      <c r="M77" s="392"/>
      <c r="N77" s="393"/>
      <c r="O77" s="395"/>
      <c r="P77" s="155"/>
      <c r="Q77" s="34"/>
      <c r="R77" s="44"/>
      <c r="S77" s="44"/>
      <c r="T77" s="44"/>
    </row>
    <row r="78" spans="1:20" s="5" customFormat="1" ht="12.75" customHeight="1" outlineLevel="1" x14ac:dyDescent="0.2">
      <c r="A78" s="44"/>
      <c r="B78" s="455"/>
      <c r="C78" s="18" t="s">
        <v>350</v>
      </c>
      <c r="D78" s="24"/>
      <c r="E78" s="40">
        <v>74</v>
      </c>
      <c r="F78" s="629"/>
      <c r="G78" s="630"/>
      <c r="H78" s="631"/>
      <c r="I78" s="155"/>
      <c r="J78" s="455"/>
      <c r="K78" s="63" t="s">
        <v>351</v>
      </c>
      <c r="L78" s="40">
        <v>74</v>
      </c>
      <c r="M78" s="392"/>
      <c r="N78" s="393"/>
      <c r="O78" s="395"/>
      <c r="P78" s="48"/>
      <c r="Q78" s="34"/>
      <c r="R78" s="44"/>
      <c r="S78" s="44"/>
      <c r="T78" s="44"/>
    </row>
    <row r="79" spans="1:20" s="5" customFormat="1" ht="12.75" customHeight="1" outlineLevel="1" x14ac:dyDescent="0.2">
      <c r="A79" s="44"/>
      <c r="B79" s="455"/>
      <c r="C79" s="18" t="s">
        <v>352</v>
      </c>
      <c r="D79" s="24"/>
      <c r="E79" s="40">
        <v>75</v>
      </c>
      <c r="F79" s="629"/>
      <c r="G79" s="630"/>
      <c r="H79" s="631"/>
      <c r="I79" s="155"/>
      <c r="J79" s="455"/>
      <c r="K79" s="63" t="s">
        <v>353</v>
      </c>
      <c r="L79" s="40">
        <v>75</v>
      </c>
      <c r="M79" s="392"/>
      <c r="N79" s="393"/>
      <c r="O79" s="395"/>
      <c r="P79" s="48"/>
      <c r="Q79" s="34"/>
      <c r="R79" s="44"/>
      <c r="S79" s="44"/>
      <c r="T79" s="44"/>
    </row>
    <row r="80" spans="1:20" s="5" customFormat="1" ht="12.75" customHeight="1" outlineLevel="1" x14ac:dyDescent="0.2">
      <c r="A80" s="44"/>
      <c r="B80" s="455"/>
      <c r="C80" s="18" t="s">
        <v>354</v>
      </c>
      <c r="D80" s="23"/>
      <c r="E80" s="40">
        <v>76</v>
      </c>
      <c r="F80" s="629"/>
      <c r="G80" s="630"/>
      <c r="H80" s="631"/>
      <c r="I80" s="155"/>
      <c r="J80" s="455"/>
      <c r="K80" s="63" t="s">
        <v>355</v>
      </c>
      <c r="L80" s="40">
        <v>76</v>
      </c>
      <c r="M80" s="392"/>
      <c r="N80" s="393"/>
      <c r="O80" s="395"/>
      <c r="P80" s="48"/>
      <c r="Q80" s="34"/>
      <c r="R80" s="44"/>
      <c r="S80" s="44"/>
      <c r="T80" s="44"/>
    </row>
    <row r="81" spans="1:20" s="5" customFormat="1" ht="12.75" customHeight="1" outlineLevel="1" x14ac:dyDescent="0.2">
      <c r="A81" s="44"/>
      <c r="B81" s="455"/>
      <c r="C81" s="18" t="s">
        <v>356</v>
      </c>
      <c r="D81" s="23"/>
      <c r="E81" s="40">
        <v>77</v>
      </c>
      <c r="F81" s="629"/>
      <c r="G81" s="630"/>
      <c r="H81" s="631"/>
      <c r="I81" s="155"/>
      <c r="J81" s="455"/>
      <c r="K81" s="63" t="s">
        <v>357</v>
      </c>
      <c r="L81" s="40">
        <v>77</v>
      </c>
      <c r="M81" s="392"/>
      <c r="N81" s="393"/>
      <c r="O81" s="395"/>
      <c r="P81" s="48"/>
      <c r="Q81" s="34"/>
      <c r="R81" s="44"/>
      <c r="S81" s="44"/>
      <c r="T81" s="44"/>
    </row>
    <row r="82" spans="1:20" s="5" customFormat="1" ht="12.75" customHeight="1" outlineLevel="1" x14ac:dyDescent="0.2">
      <c r="A82" s="44"/>
      <c r="B82" s="455"/>
      <c r="C82" s="18" t="s">
        <v>358</v>
      </c>
      <c r="D82" s="23"/>
      <c r="E82" s="40">
        <v>78</v>
      </c>
      <c r="F82" s="629"/>
      <c r="G82" s="630"/>
      <c r="H82" s="631"/>
      <c r="I82" s="155"/>
      <c r="J82" s="455"/>
      <c r="K82" s="63" t="s">
        <v>359</v>
      </c>
      <c r="L82" s="40">
        <v>78</v>
      </c>
      <c r="M82" s="392"/>
      <c r="N82" s="393"/>
      <c r="O82" s="395"/>
      <c r="P82" s="48"/>
      <c r="Q82" s="34"/>
      <c r="R82" s="44"/>
      <c r="S82" s="44"/>
      <c r="T82" s="44"/>
    </row>
    <row r="83" spans="1:20" s="5" customFormat="1" ht="13.5" customHeight="1" outlineLevel="1" thickBot="1" x14ac:dyDescent="0.25">
      <c r="A83" s="44"/>
      <c r="B83" s="456"/>
      <c r="C83" s="62" t="s">
        <v>360</v>
      </c>
      <c r="D83" s="20"/>
      <c r="E83" s="43">
        <v>79</v>
      </c>
      <c r="F83" s="629"/>
      <c r="G83" s="630"/>
      <c r="H83" s="631"/>
      <c r="I83" s="155"/>
      <c r="J83" s="455"/>
      <c r="K83" s="117" t="s">
        <v>361</v>
      </c>
      <c r="L83" s="43">
        <v>79</v>
      </c>
      <c r="M83" s="439"/>
      <c r="N83" s="440"/>
      <c r="O83" s="441"/>
      <c r="P83" s="48"/>
      <c r="Q83" s="34"/>
      <c r="R83" s="44"/>
      <c r="S83" s="44"/>
      <c r="T83" s="44"/>
    </row>
    <row r="84" spans="1:20" s="5" customFormat="1" ht="12.75" customHeight="1" outlineLevel="2" x14ac:dyDescent="0.2">
      <c r="A84" s="44"/>
      <c r="B84" s="454"/>
      <c r="C84" s="17" t="s">
        <v>655</v>
      </c>
      <c r="D84" s="26"/>
      <c r="E84" s="167">
        <v>80</v>
      </c>
      <c r="F84" s="422"/>
      <c r="G84" s="423"/>
      <c r="H84" s="424"/>
      <c r="I84" s="155"/>
      <c r="J84" s="454"/>
      <c r="K84" s="64" t="s">
        <v>671</v>
      </c>
      <c r="L84" s="167">
        <v>80</v>
      </c>
      <c r="M84" s="422"/>
      <c r="N84" s="423"/>
      <c r="O84" s="424"/>
      <c r="P84" s="155"/>
      <c r="Q84" s="34"/>
      <c r="R84" s="44"/>
      <c r="S84" s="44"/>
      <c r="T84" s="44"/>
    </row>
    <row r="85" spans="1:20" s="5" customFormat="1" ht="12.75" customHeight="1" outlineLevel="2" x14ac:dyDescent="0.2">
      <c r="A85" s="44"/>
      <c r="B85" s="455"/>
      <c r="C85" s="18" t="s">
        <v>656</v>
      </c>
      <c r="D85" s="24"/>
      <c r="E85" s="40">
        <v>81</v>
      </c>
      <c r="F85" s="392"/>
      <c r="G85" s="393"/>
      <c r="H85" s="395"/>
      <c r="I85" s="155"/>
      <c r="J85" s="455"/>
      <c r="K85" s="63" t="s">
        <v>672</v>
      </c>
      <c r="L85" s="40">
        <v>81</v>
      </c>
      <c r="M85" s="392"/>
      <c r="N85" s="393"/>
      <c r="O85" s="395"/>
      <c r="P85" s="155"/>
      <c r="Q85" s="34"/>
      <c r="R85" s="44"/>
      <c r="S85" s="44"/>
      <c r="T85" s="44"/>
    </row>
    <row r="86" spans="1:20" s="5" customFormat="1" ht="12.75" customHeight="1" outlineLevel="2" x14ac:dyDescent="0.2">
      <c r="A86" s="44"/>
      <c r="B86" s="455"/>
      <c r="C86" s="18" t="s">
        <v>657</v>
      </c>
      <c r="D86" s="24"/>
      <c r="E86" s="40">
        <v>82</v>
      </c>
      <c r="F86" s="667"/>
      <c r="G86" s="668"/>
      <c r="H86" s="669"/>
      <c r="I86" s="155"/>
      <c r="J86" s="455"/>
      <c r="K86" s="63" t="s">
        <v>673</v>
      </c>
      <c r="L86" s="40">
        <v>82</v>
      </c>
      <c r="M86" s="392"/>
      <c r="N86" s="393"/>
      <c r="O86" s="395"/>
      <c r="P86" s="48"/>
      <c r="Q86" s="34"/>
      <c r="R86" s="44"/>
      <c r="S86" s="44"/>
      <c r="T86" s="44"/>
    </row>
    <row r="87" spans="1:20" s="5" customFormat="1" ht="12.75" customHeight="1" outlineLevel="2" x14ac:dyDescent="0.2">
      <c r="A87" s="44"/>
      <c r="B87" s="455"/>
      <c r="C87" s="18" t="s">
        <v>658</v>
      </c>
      <c r="D87" s="24"/>
      <c r="E87" s="40">
        <v>83</v>
      </c>
      <c r="F87" s="621"/>
      <c r="G87" s="622"/>
      <c r="H87" s="623"/>
      <c r="I87" s="155"/>
      <c r="J87" s="455"/>
      <c r="K87" s="63" t="s">
        <v>674</v>
      </c>
      <c r="L87" s="40">
        <v>83</v>
      </c>
      <c r="M87" s="392"/>
      <c r="N87" s="393"/>
      <c r="O87" s="395"/>
      <c r="P87" s="48"/>
      <c r="Q87" s="34"/>
      <c r="R87" s="44"/>
      <c r="S87" s="44"/>
      <c r="T87" s="44"/>
    </row>
    <row r="88" spans="1:20" s="5" customFormat="1" ht="12.75" customHeight="1" outlineLevel="2" x14ac:dyDescent="0.2">
      <c r="A88" s="44"/>
      <c r="B88" s="455"/>
      <c r="C88" s="18" t="s">
        <v>659</v>
      </c>
      <c r="D88" s="23"/>
      <c r="E88" s="40">
        <v>84</v>
      </c>
      <c r="F88" s="629"/>
      <c r="G88" s="630"/>
      <c r="H88" s="631"/>
      <c r="I88" s="155"/>
      <c r="J88" s="455"/>
      <c r="K88" s="63" t="s">
        <v>675</v>
      </c>
      <c r="L88" s="40">
        <v>84</v>
      </c>
      <c r="M88" s="392"/>
      <c r="N88" s="393"/>
      <c r="O88" s="395"/>
      <c r="P88" s="48"/>
      <c r="Q88" s="34"/>
      <c r="R88" s="44"/>
      <c r="S88" s="44"/>
      <c r="T88" s="44"/>
    </row>
    <row r="89" spans="1:20" s="5" customFormat="1" ht="12.75" customHeight="1" outlineLevel="2" x14ac:dyDescent="0.2">
      <c r="A89" s="44"/>
      <c r="B89" s="455"/>
      <c r="C89" s="18" t="s">
        <v>660</v>
      </c>
      <c r="D89" s="23"/>
      <c r="E89" s="40">
        <v>85</v>
      </c>
      <c r="F89" s="629"/>
      <c r="G89" s="630"/>
      <c r="H89" s="631"/>
      <c r="I89" s="155"/>
      <c r="J89" s="455"/>
      <c r="K89" s="63" t="s">
        <v>676</v>
      </c>
      <c r="L89" s="40">
        <v>85</v>
      </c>
      <c r="M89" s="392"/>
      <c r="N89" s="393"/>
      <c r="O89" s="395"/>
      <c r="P89" s="48"/>
      <c r="Q89" s="34"/>
      <c r="R89" s="44"/>
      <c r="S89" s="44"/>
      <c r="T89" s="44"/>
    </row>
    <row r="90" spans="1:20" s="5" customFormat="1" ht="12.75" customHeight="1" outlineLevel="2" x14ac:dyDescent="0.2">
      <c r="A90" s="44"/>
      <c r="B90" s="455"/>
      <c r="C90" s="18" t="s">
        <v>661</v>
      </c>
      <c r="D90" s="23"/>
      <c r="E90" s="40">
        <v>86</v>
      </c>
      <c r="F90" s="392"/>
      <c r="G90" s="393"/>
      <c r="H90" s="395"/>
      <c r="I90" s="155"/>
      <c r="J90" s="455"/>
      <c r="K90" s="63" t="s">
        <v>677</v>
      </c>
      <c r="L90" s="40">
        <v>86</v>
      </c>
      <c r="M90" s="392"/>
      <c r="N90" s="393"/>
      <c r="O90" s="395"/>
      <c r="P90" s="48"/>
      <c r="Q90" s="34"/>
      <c r="R90" s="44"/>
      <c r="S90" s="44"/>
      <c r="T90" s="44"/>
    </row>
    <row r="91" spans="1:20" s="5" customFormat="1" ht="13.5" customHeight="1" outlineLevel="2" thickBot="1" x14ac:dyDescent="0.25">
      <c r="A91" s="44"/>
      <c r="B91" s="455"/>
      <c r="C91" s="62" t="s">
        <v>662</v>
      </c>
      <c r="D91" s="20"/>
      <c r="E91" s="43">
        <v>87</v>
      </c>
      <c r="F91" s="439"/>
      <c r="G91" s="440"/>
      <c r="H91" s="441"/>
      <c r="I91" s="155"/>
      <c r="J91" s="455"/>
      <c r="K91" s="117" t="s">
        <v>678</v>
      </c>
      <c r="L91" s="43">
        <v>87</v>
      </c>
      <c r="M91" s="439"/>
      <c r="N91" s="440"/>
      <c r="O91" s="441"/>
      <c r="P91" s="48"/>
      <c r="Q91" s="34"/>
      <c r="R91" s="44"/>
      <c r="S91" s="44"/>
      <c r="T91" s="44"/>
    </row>
    <row r="92" spans="1:20" s="5" customFormat="1" ht="12.75" customHeight="1" outlineLevel="2" x14ac:dyDescent="0.2">
      <c r="A92" s="44"/>
      <c r="B92" s="455"/>
      <c r="C92" s="17" t="s">
        <v>663</v>
      </c>
      <c r="D92" s="26"/>
      <c r="E92" s="11">
        <v>88</v>
      </c>
      <c r="F92" s="422"/>
      <c r="G92" s="423"/>
      <c r="H92" s="424"/>
      <c r="I92" s="155"/>
      <c r="J92" s="455"/>
      <c r="K92" s="65" t="s">
        <v>679</v>
      </c>
      <c r="L92" s="11">
        <v>88</v>
      </c>
      <c r="M92" s="621"/>
      <c r="N92" s="622"/>
      <c r="O92" s="623"/>
      <c r="P92" s="155"/>
      <c r="Q92" s="34"/>
      <c r="R92" s="44"/>
      <c r="S92" s="44"/>
      <c r="T92" s="44"/>
    </row>
    <row r="93" spans="1:20" s="5" customFormat="1" ht="12.75" customHeight="1" outlineLevel="2" x14ac:dyDescent="0.2">
      <c r="A93" s="44"/>
      <c r="B93" s="455"/>
      <c r="C93" s="18" t="s">
        <v>664</v>
      </c>
      <c r="D93" s="24"/>
      <c r="E93" s="40">
        <v>89</v>
      </c>
      <c r="F93" s="392"/>
      <c r="G93" s="393"/>
      <c r="H93" s="395"/>
      <c r="I93" s="155"/>
      <c r="J93" s="455"/>
      <c r="K93" s="63" t="s">
        <v>680</v>
      </c>
      <c r="L93" s="40">
        <v>89</v>
      </c>
      <c r="M93" s="392"/>
      <c r="N93" s="393"/>
      <c r="O93" s="395"/>
      <c r="P93" s="155"/>
      <c r="Q93" s="34"/>
      <c r="R93" s="44"/>
      <c r="S93" s="44"/>
      <c r="T93" s="44"/>
    </row>
    <row r="94" spans="1:20" s="5" customFormat="1" ht="12.75" customHeight="1" outlineLevel="2" x14ac:dyDescent="0.2">
      <c r="A94" s="44"/>
      <c r="B94" s="455"/>
      <c r="C94" s="18" t="s">
        <v>665</v>
      </c>
      <c r="D94" s="24"/>
      <c r="E94" s="40">
        <v>90</v>
      </c>
      <c r="F94" s="392"/>
      <c r="G94" s="393"/>
      <c r="H94" s="394"/>
      <c r="I94" s="155"/>
      <c r="J94" s="455"/>
      <c r="K94" s="63" t="s">
        <v>681</v>
      </c>
      <c r="L94" s="40">
        <v>90</v>
      </c>
      <c r="M94" s="392"/>
      <c r="N94" s="393"/>
      <c r="O94" s="395"/>
      <c r="P94" s="48"/>
      <c r="Q94" s="34"/>
      <c r="R94" s="44"/>
      <c r="S94" s="44"/>
      <c r="T94" s="44"/>
    </row>
    <row r="95" spans="1:20" s="5" customFormat="1" ht="12.75" customHeight="1" outlineLevel="2" x14ac:dyDescent="0.2">
      <c r="A95" s="44"/>
      <c r="B95" s="455"/>
      <c r="C95" s="18" t="s">
        <v>666</v>
      </c>
      <c r="D95" s="24"/>
      <c r="E95" s="40">
        <v>91</v>
      </c>
      <c r="F95" s="392"/>
      <c r="G95" s="393"/>
      <c r="H95" s="394"/>
      <c r="I95" s="155"/>
      <c r="J95" s="455"/>
      <c r="K95" s="63" t="s">
        <v>682</v>
      </c>
      <c r="L95" s="40">
        <v>91</v>
      </c>
      <c r="M95" s="392"/>
      <c r="N95" s="393"/>
      <c r="O95" s="395"/>
      <c r="P95" s="48"/>
      <c r="Q95" s="34"/>
      <c r="R95" s="44"/>
      <c r="S95" s="44"/>
      <c r="T95" s="44"/>
    </row>
    <row r="96" spans="1:20" s="5" customFormat="1" ht="12.75" customHeight="1" outlineLevel="2" x14ac:dyDescent="0.2">
      <c r="A96" s="44"/>
      <c r="B96" s="455"/>
      <c r="C96" s="18" t="s">
        <v>667</v>
      </c>
      <c r="D96" s="23"/>
      <c r="E96" s="40">
        <v>92</v>
      </c>
      <c r="F96" s="392"/>
      <c r="G96" s="393"/>
      <c r="H96" s="394"/>
      <c r="I96" s="155"/>
      <c r="J96" s="455"/>
      <c r="K96" s="63" t="s">
        <v>683</v>
      </c>
      <c r="L96" s="40">
        <v>92</v>
      </c>
      <c r="M96" s="392"/>
      <c r="N96" s="393"/>
      <c r="O96" s="395"/>
      <c r="P96" s="48"/>
      <c r="Q96" s="34"/>
      <c r="R96" s="44"/>
      <c r="S96" s="44"/>
      <c r="T96" s="44"/>
    </row>
    <row r="97" spans="1:20" s="5" customFormat="1" ht="12.75" customHeight="1" outlineLevel="2" x14ac:dyDescent="0.2">
      <c r="A97" s="44"/>
      <c r="B97" s="455"/>
      <c r="C97" s="18" t="s">
        <v>668</v>
      </c>
      <c r="D97" s="23"/>
      <c r="E97" s="40">
        <v>93</v>
      </c>
      <c r="F97" s="392"/>
      <c r="G97" s="393"/>
      <c r="H97" s="394"/>
      <c r="I97" s="155"/>
      <c r="J97" s="455"/>
      <c r="K97" s="63" t="s">
        <v>684</v>
      </c>
      <c r="L97" s="40">
        <v>93</v>
      </c>
      <c r="M97" s="392"/>
      <c r="N97" s="393"/>
      <c r="O97" s="395"/>
      <c r="P97" s="48"/>
      <c r="Q97" s="34"/>
      <c r="R97" s="44"/>
      <c r="S97" s="44"/>
      <c r="T97" s="44"/>
    </row>
    <row r="98" spans="1:20" s="5" customFormat="1" ht="12.75" customHeight="1" outlineLevel="2" x14ac:dyDescent="0.2">
      <c r="A98" s="44"/>
      <c r="B98" s="455"/>
      <c r="C98" s="18" t="s">
        <v>669</v>
      </c>
      <c r="D98" s="23"/>
      <c r="E98" s="40">
        <v>94</v>
      </c>
      <c r="F98" s="392"/>
      <c r="G98" s="393"/>
      <c r="H98" s="394"/>
      <c r="I98" s="155"/>
      <c r="J98" s="455"/>
      <c r="K98" s="63" t="s">
        <v>685</v>
      </c>
      <c r="L98" s="40">
        <v>94</v>
      </c>
      <c r="M98" s="392"/>
      <c r="N98" s="393"/>
      <c r="O98" s="395"/>
      <c r="P98" s="48"/>
      <c r="Q98" s="34"/>
      <c r="R98" s="44"/>
      <c r="S98" s="44"/>
      <c r="T98" s="44"/>
    </row>
    <row r="99" spans="1:20" s="5" customFormat="1" ht="13.5" customHeight="1" outlineLevel="2" thickBot="1" x14ac:dyDescent="0.25">
      <c r="A99" s="44"/>
      <c r="B99" s="456"/>
      <c r="C99" s="62" t="s">
        <v>670</v>
      </c>
      <c r="D99" s="20"/>
      <c r="E99" s="43">
        <v>95</v>
      </c>
      <c r="F99" s="439"/>
      <c r="G99" s="440"/>
      <c r="H99" s="401"/>
      <c r="I99" s="155"/>
      <c r="J99" s="456"/>
      <c r="K99" s="117" t="s">
        <v>686</v>
      </c>
      <c r="L99" s="43">
        <v>95</v>
      </c>
      <c r="M99" s="439"/>
      <c r="N99" s="440"/>
      <c r="O99" s="441"/>
      <c r="P99" s="48"/>
      <c r="Q99" s="34"/>
      <c r="R99" s="44"/>
      <c r="S99" s="44"/>
      <c r="T99" s="44"/>
    </row>
    <row r="100" spans="1:20" x14ac:dyDescent="0.2">
      <c r="A100" s="29"/>
      <c r="B100" s="29"/>
      <c r="C100" s="602" t="s">
        <v>17</v>
      </c>
      <c r="D100" s="593"/>
      <c r="E100" s="655"/>
      <c r="F100" s="74">
        <f>IF(F102 &gt; 0,(F101/F102),0)</f>
        <v>0.15384615384615385</v>
      </c>
      <c r="G100" s="60"/>
      <c r="H100" s="60"/>
      <c r="I100" s="35"/>
      <c r="J100" s="69"/>
      <c r="K100" s="656" t="s">
        <v>16</v>
      </c>
      <c r="L100" s="594"/>
      <c r="M100" s="75">
        <f>IF(M102 &gt; 0,(M101/M102),0)</f>
        <v>0.3125</v>
      </c>
      <c r="O100" s="61"/>
      <c r="P100" s="36"/>
      <c r="Q100" s="36"/>
      <c r="R100" s="29"/>
      <c r="S100" s="29"/>
      <c r="T100" s="29"/>
    </row>
    <row r="101" spans="1:20" x14ac:dyDescent="0.2">
      <c r="A101" s="29"/>
      <c r="B101" s="29"/>
      <c r="C101" s="586" t="s">
        <v>2</v>
      </c>
      <c r="D101" s="586"/>
      <c r="E101" s="586"/>
      <c r="F101" s="54">
        <f>COUNTIF(F3:F98,"Reserve")</f>
        <v>10</v>
      </c>
      <c r="G101" s="55"/>
      <c r="H101" s="4"/>
      <c r="I101" s="35"/>
      <c r="J101" s="35"/>
      <c r="K101" s="586" t="s">
        <v>2</v>
      </c>
      <c r="L101" s="586"/>
      <c r="M101" s="54">
        <f>COUNTIF(M3:M98,"Reserve")</f>
        <v>15</v>
      </c>
      <c r="N101" s="55"/>
      <c r="O101" s="4"/>
      <c r="P101" s="36"/>
      <c r="Q101" s="36"/>
      <c r="R101" s="29"/>
      <c r="S101" s="29"/>
      <c r="T101" s="29"/>
    </row>
    <row r="102" spans="1:20" ht="13.5" thickBot="1" x14ac:dyDescent="0.25">
      <c r="A102" s="29"/>
      <c r="B102" s="29"/>
      <c r="C102" s="587" t="s">
        <v>3</v>
      </c>
      <c r="D102" s="587"/>
      <c r="E102" s="587"/>
      <c r="F102" s="54">
        <f>COUNTA(F3:F98)</f>
        <v>65</v>
      </c>
      <c r="G102" s="4"/>
      <c r="H102" s="4"/>
      <c r="I102" s="35"/>
      <c r="J102" s="35"/>
      <c r="K102" s="587" t="s">
        <v>3</v>
      </c>
      <c r="L102" s="587"/>
      <c r="M102" s="54">
        <f>COUNTA(M3:M98)</f>
        <v>48</v>
      </c>
      <c r="N102" s="4"/>
      <c r="O102" s="4"/>
      <c r="P102" s="36"/>
      <c r="Q102" s="36"/>
      <c r="R102" s="29"/>
      <c r="S102" s="29"/>
      <c r="T102" s="29"/>
    </row>
    <row r="103" spans="1:20" s="1" customFormat="1" ht="18.75" customHeight="1" x14ac:dyDescent="0.2">
      <c r="A103" s="37"/>
      <c r="B103" s="448" t="s">
        <v>6</v>
      </c>
      <c r="C103" s="475" t="s">
        <v>717</v>
      </c>
      <c r="D103" s="248"/>
      <c r="E103" s="596" t="s">
        <v>256</v>
      </c>
      <c r="F103" s="598" t="s">
        <v>0</v>
      </c>
      <c r="G103" s="599"/>
      <c r="H103" s="663"/>
      <c r="I103" s="38"/>
      <c r="J103" s="665" t="s">
        <v>6</v>
      </c>
      <c r="K103" s="727" t="s">
        <v>718</v>
      </c>
      <c r="L103" s="596" t="s">
        <v>257</v>
      </c>
      <c r="M103" s="598" t="s">
        <v>0</v>
      </c>
      <c r="N103" s="599"/>
      <c r="O103" s="663"/>
      <c r="P103" s="38"/>
      <c r="Q103" s="38"/>
      <c r="R103" s="37"/>
      <c r="S103" s="37"/>
      <c r="T103" s="37"/>
    </row>
    <row r="104" spans="1:20" s="1" customFormat="1" ht="29.25" customHeight="1" thickBot="1" x14ac:dyDescent="0.25">
      <c r="A104" s="37"/>
      <c r="B104" s="449"/>
      <c r="C104" s="476"/>
      <c r="D104" s="73"/>
      <c r="E104" s="597"/>
      <c r="F104" s="600"/>
      <c r="G104" s="601"/>
      <c r="H104" s="664"/>
      <c r="I104" s="38"/>
      <c r="J104" s="666"/>
      <c r="K104" s="552"/>
      <c r="L104" s="597"/>
      <c r="M104" s="600"/>
      <c r="N104" s="601"/>
      <c r="O104" s="664"/>
      <c r="P104" s="38"/>
      <c r="Q104" s="38"/>
      <c r="R104" s="37"/>
      <c r="S104" s="37"/>
      <c r="T104" s="37"/>
    </row>
    <row r="105" spans="1:20" s="5" customFormat="1" ht="13.5" customHeight="1" x14ac:dyDescent="0.2">
      <c r="A105" s="44"/>
      <c r="B105" s="380" t="s">
        <v>299</v>
      </c>
      <c r="C105" s="15" t="s">
        <v>19</v>
      </c>
      <c r="D105" s="79"/>
      <c r="E105" s="56">
        <v>0</v>
      </c>
      <c r="F105" s="615" t="s">
        <v>749</v>
      </c>
      <c r="G105" s="616"/>
      <c r="H105" s="617"/>
      <c r="I105" s="48"/>
      <c r="J105" s="396"/>
      <c r="K105" s="66" t="s">
        <v>24</v>
      </c>
      <c r="L105" s="56">
        <v>0</v>
      </c>
      <c r="M105" s="534"/>
      <c r="N105" s="535"/>
      <c r="O105" s="536"/>
      <c r="P105" s="48"/>
      <c r="Q105" s="48"/>
      <c r="R105" s="44"/>
      <c r="S105" s="44"/>
      <c r="T105" s="44"/>
    </row>
    <row r="106" spans="1:20" s="5" customFormat="1" ht="13.5" customHeight="1" thickBot="1" x14ac:dyDescent="0.25">
      <c r="A106" s="44"/>
      <c r="B106" s="382"/>
      <c r="C106" s="16" t="s">
        <v>20</v>
      </c>
      <c r="D106" s="80"/>
      <c r="E106" s="57">
        <v>1</v>
      </c>
      <c r="F106" s="737" t="s">
        <v>269</v>
      </c>
      <c r="G106" s="738" t="s">
        <v>260</v>
      </c>
      <c r="H106" s="739" t="s">
        <v>260</v>
      </c>
      <c r="I106" s="48"/>
      <c r="J106" s="397"/>
      <c r="K106" s="13" t="s">
        <v>25</v>
      </c>
      <c r="L106" s="120">
        <v>1</v>
      </c>
      <c r="M106" s="390"/>
      <c r="N106" s="390"/>
      <c r="O106" s="391"/>
      <c r="P106" s="48"/>
      <c r="Q106" s="48"/>
      <c r="R106" s="44"/>
      <c r="S106" s="44"/>
      <c r="T106" s="44"/>
    </row>
    <row r="107" spans="1:20" s="5" customFormat="1" ht="12.75" customHeight="1" x14ac:dyDescent="0.2">
      <c r="A107" s="44"/>
      <c r="B107" s="380" t="s">
        <v>299</v>
      </c>
      <c r="C107" s="15" t="s">
        <v>21</v>
      </c>
      <c r="D107" s="79"/>
      <c r="E107" s="56">
        <v>2</v>
      </c>
      <c r="F107" s="615" t="s">
        <v>803</v>
      </c>
      <c r="G107" s="616"/>
      <c r="H107" s="617"/>
      <c r="I107" s="48"/>
      <c r="J107" s="397"/>
      <c r="K107" s="174" t="s">
        <v>26</v>
      </c>
      <c r="L107" s="119">
        <v>2</v>
      </c>
      <c r="M107" s="390"/>
      <c r="N107" s="390"/>
      <c r="O107" s="391"/>
      <c r="P107" s="48"/>
      <c r="Q107" s="48"/>
      <c r="R107" s="44"/>
      <c r="S107" s="44"/>
      <c r="T107" s="44"/>
    </row>
    <row r="108" spans="1:20" s="5" customFormat="1" ht="13.5" customHeight="1" thickBot="1" x14ac:dyDescent="0.25">
      <c r="A108" s="44"/>
      <c r="B108" s="382"/>
      <c r="C108" s="16" t="s">
        <v>22</v>
      </c>
      <c r="D108" s="81"/>
      <c r="E108" s="58">
        <v>3</v>
      </c>
      <c r="F108" s="657" t="s">
        <v>804</v>
      </c>
      <c r="G108" s="658"/>
      <c r="H108" s="659"/>
      <c r="I108" s="48"/>
      <c r="J108" s="398"/>
      <c r="K108" s="68" t="s">
        <v>27</v>
      </c>
      <c r="L108" s="58">
        <v>3</v>
      </c>
      <c r="M108" s="614"/>
      <c r="N108" s="530"/>
      <c r="O108" s="531"/>
      <c r="P108" s="48"/>
      <c r="Q108" s="48"/>
      <c r="R108" s="44"/>
      <c r="S108" s="44"/>
      <c r="T108" s="44"/>
    </row>
    <row r="109" spans="1:20" s="5" customFormat="1" ht="12.75" customHeight="1" x14ac:dyDescent="0.2">
      <c r="A109" s="44"/>
      <c r="B109" s="380" t="s">
        <v>299</v>
      </c>
      <c r="C109" s="175" t="s">
        <v>29</v>
      </c>
      <c r="D109" s="176"/>
      <c r="E109" s="119">
        <v>4</v>
      </c>
      <c r="F109" s="728" t="s">
        <v>805</v>
      </c>
      <c r="G109" s="729"/>
      <c r="H109" s="730"/>
      <c r="I109" s="48"/>
      <c r="J109" s="396"/>
      <c r="K109" s="66" t="s">
        <v>39</v>
      </c>
      <c r="L109" s="56">
        <v>4</v>
      </c>
      <c r="M109" s="731"/>
      <c r="N109" s="732"/>
      <c r="O109" s="733"/>
      <c r="P109" s="48"/>
      <c r="Q109" s="48"/>
      <c r="R109" s="44"/>
      <c r="S109" s="44"/>
      <c r="T109" s="44"/>
    </row>
    <row r="110" spans="1:20" s="5" customFormat="1" ht="13.5" thickBot="1" x14ac:dyDescent="0.25">
      <c r="A110" s="44"/>
      <c r="B110" s="382"/>
      <c r="C110" s="16" t="s">
        <v>30</v>
      </c>
      <c r="D110" s="81"/>
      <c r="E110" s="57">
        <v>5</v>
      </c>
      <c r="F110" s="728" t="s">
        <v>806</v>
      </c>
      <c r="G110" s="729"/>
      <c r="H110" s="730"/>
      <c r="I110" s="48"/>
      <c r="J110" s="397"/>
      <c r="K110" s="13" t="s">
        <v>40</v>
      </c>
      <c r="L110" s="120">
        <v>5</v>
      </c>
      <c r="M110" s="605"/>
      <c r="N110" s="606"/>
      <c r="O110" s="607"/>
      <c r="P110" s="48"/>
      <c r="Q110" s="48"/>
      <c r="R110" s="44"/>
      <c r="S110" s="44"/>
      <c r="T110" s="44"/>
    </row>
    <row r="111" spans="1:20" s="5" customFormat="1" ht="12.75" customHeight="1" x14ac:dyDescent="0.2">
      <c r="A111" s="44"/>
      <c r="B111" s="380" t="s">
        <v>299</v>
      </c>
      <c r="C111" s="15" t="s">
        <v>31</v>
      </c>
      <c r="D111" s="82"/>
      <c r="E111" s="56">
        <v>6</v>
      </c>
      <c r="F111" s="615" t="s">
        <v>807</v>
      </c>
      <c r="G111" s="616"/>
      <c r="H111" s="617"/>
      <c r="I111" s="48"/>
      <c r="J111" s="397"/>
      <c r="K111" s="247" t="s">
        <v>41</v>
      </c>
      <c r="L111" s="119">
        <v>6</v>
      </c>
      <c r="M111" s="608"/>
      <c r="N111" s="609"/>
      <c r="O111" s="610"/>
      <c r="P111" s="48"/>
      <c r="Q111" s="48"/>
      <c r="R111" s="44"/>
      <c r="S111" s="44"/>
      <c r="T111" s="44"/>
    </row>
    <row r="112" spans="1:20" s="5" customFormat="1" ht="13.5" thickBot="1" x14ac:dyDescent="0.25">
      <c r="A112" s="44"/>
      <c r="B112" s="382"/>
      <c r="C112" s="16" t="s">
        <v>32</v>
      </c>
      <c r="D112" s="81"/>
      <c r="E112" s="58">
        <v>7</v>
      </c>
      <c r="F112" s="734" t="s">
        <v>810</v>
      </c>
      <c r="G112" s="735"/>
      <c r="H112" s="736"/>
      <c r="I112" s="48"/>
      <c r="J112" s="398"/>
      <c r="K112" s="68" t="s">
        <v>42</v>
      </c>
      <c r="L112" s="57">
        <v>7</v>
      </c>
      <c r="M112" s="611"/>
      <c r="N112" s="612"/>
      <c r="O112" s="613"/>
      <c r="P112" s="48"/>
      <c r="Q112" s="48"/>
      <c r="R112" s="44"/>
      <c r="S112" s="44"/>
      <c r="T112" s="44"/>
    </row>
    <row r="113" spans="1:20" s="5" customFormat="1" ht="12.75" customHeight="1" x14ac:dyDescent="0.2">
      <c r="A113" s="44"/>
      <c r="B113" s="380" t="s">
        <v>299</v>
      </c>
      <c r="C113" s="175" t="s">
        <v>33</v>
      </c>
      <c r="D113" s="177"/>
      <c r="E113" s="119">
        <v>8</v>
      </c>
      <c r="F113" s="615" t="s">
        <v>811</v>
      </c>
      <c r="G113" s="616"/>
      <c r="H113" s="617"/>
      <c r="I113" s="48"/>
      <c r="J113" s="396"/>
      <c r="K113" s="66" t="s">
        <v>43</v>
      </c>
      <c r="L113" s="56">
        <v>8</v>
      </c>
      <c r="M113" s="534"/>
      <c r="N113" s="535"/>
      <c r="O113" s="536"/>
      <c r="P113" s="48"/>
      <c r="Q113" s="48"/>
      <c r="R113" s="44"/>
      <c r="S113" s="44"/>
      <c r="T113" s="44"/>
    </row>
    <row r="114" spans="1:20" s="5" customFormat="1" ht="13.5" thickBot="1" x14ac:dyDescent="0.25">
      <c r="A114" s="44"/>
      <c r="B114" s="382"/>
      <c r="C114" s="16" t="s">
        <v>34</v>
      </c>
      <c r="D114" s="84"/>
      <c r="E114" s="57">
        <v>9</v>
      </c>
      <c r="F114" s="439" t="s">
        <v>812</v>
      </c>
      <c r="G114" s="440" t="s">
        <v>260</v>
      </c>
      <c r="H114" s="441" t="s">
        <v>260</v>
      </c>
      <c r="I114" s="48"/>
      <c r="J114" s="397"/>
      <c r="K114" s="13" t="s">
        <v>44</v>
      </c>
      <c r="L114" s="120">
        <v>9</v>
      </c>
      <c r="M114" s="389"/>
      <c r="N114" s="390"/>
      <c r="O114" s="391"/>
      <c r="P114" s="48"/>
      <c r="Q114" s="48"/>
      <c r="R114" s="44"/>
      <c r="S114" s="44"/>
      <c r="T114" s="44"/>
    </row>
    <row r="115" spans="1:20" s="5" customFormat="1" ht="12.75" customHeight="1" x14ac:dyDescent="0.2">
      <c r="A115" s="44"/>
      <c r="B115" s="380" t="s">
        <v>299</v>
      </c>
      <c r="C115" s="15" t="s">
        <v>35</v>
      </c>
      <c r="D115" s="85"/>
      <c r="E115" s="56">
        <v>10</v>
      </c>
      <c r="F115" s="422" t="s">
        <v>813</v>
      </c>
      <c r="G115" s="423"/>
      <c r="H115" s="424"/>
      <c r="I115" s="48"/>
      <c r="J115" s="397"/>
      <c r="K115" s="247" t="s">
        <v>45</v>
      </c>
      <c r="L115" s="119">
        <v>10</v>
      </c>
      <c r="M115" s="389"/>
      <c r="N115" s="390"/>
      <c r="O115" s="391"/>
      <c r="P115" s="48"/>
      <c r="Q115" s="48"/>
      <c r="R115" s="44"/>
      <c r="S115" s="44"/>
      <c r="T115" s="44"/>
    </row>
    <row r="116" spans="1:20" s="5" customFormat="1" ht="13.5" thickBot="1" x14ac:dyDescent="0.25">
      <c r="A116" s="44"/>
      <c r="B116" s="382"/>
      <c r="C116" s="16" t="s">
        <v>36</v>
      </c>
      <c r="D116" s="86"/>
      <c r="E116" s="57">
        <v>11</v>
      </c>
      <c r="F116" s="660" t="s">
        <v>269</v>
      </c>
      <c r="G116" s="661" t="s">
        <v>260</v>
      </c>
      <c r="H116" s="662" t="s">
        <v>260</v>
      </c>
      <c r="I116" s="48"/>
      <c r="J116" s="398"/>
      <c r="K116" s="68" t="s">
        <v>46</v>
      </c>
      <c r="L116" s="57">
        <v>11</v>
      </c>
      <c r="M116" s="529"/>
      <c r="N116" s="530"/>
      <c r="O116" s="531"/>
      <c r="P116" s="48"/>
      <c r="Q116" s="48"/>
      <c r="R116" s="44"/>
      <c r="S116" s="44"/>
      <c r="T116" s="44"/>
    </row>
    <row r="117" spans="1:20" s="5" customFormat="1" ht="12.75" hidden="1" customHeight="1" outlineLevel="1" x14ac:dyDescent="0.2">
      <c r="A117" s="44"/>
      <c r="B117" s="642"/>
      <c r="C117" s="15" t="s">
        <v>37</v>
      </c>
      <c r="D117" s="83"/>
      <c r="E117" s="56">
        <v>12</v>
      </c>
      <c r="F117" s="644"/>
      <c r="G117" s="645"/>
      <c r="H117" s="646"/>
      <c r="I117" s="48"/>
      <c r="J117" s="396"/>
      <c r="K117" s="66" t="s">
        <v>47</v>
      </c>
      <c r="L117" s="56">
        <v>12</v>
      </c>
      <c r="M117" s="534"/>
      <c r="N117" s="535"/>
      <c r="O117" s="536"/>
      <c r="P117" s="48"/>
      <c r="Q117" s="48"/>
      <c r="R117" s="44"/>
      <c r="S117" s="44"/>
      <c r="T117" s="44"/>
    </row>
    <row r="118" spans="1:20" s="5" customFormat="1" ht="13.5" hidden="1" customHeight="1" outlineLevel="1" thickBot="1" x14ac:dyDescent="0.25">
      <c r="A118" s="44"/>
      <c r="B118" s="643"/>
      <c r="C118" s="70" t="s">
        <v>38</v>
      </c>
      <c r="D118" s="84"/>
      <c r="E118" s="57">
        <v>13</v>
      </c>
      <c r="F118" s="647"/>
      <c r="G118" s="648"/>
      <c r="H118" s="649"/>
      <c r="I118" s="48"/>
      <c r="J118" s="397"/>
      <c r="K118" s="13" t="s">
        <v>48</v>
      </c>
      <c r="L118" s="120">
        <v>13</v>
      </c>
      <c r="M118" s="389"/>
      <c r="N118" s="390"/>
      <c r="O118" s="391"/>
      <c r="P118" s="48"/>
      <c r="Q118" s="48"/>
      <c r="R118" s="44"/>
      <c r="S118" s="44"/>
      <c r="T118" s="44"/>
    </row>
    <row r="119" spans="1:20" s="5" customFormat="1" ht="12.75" hidden="1" customHeight="1" outlineLevel="1" x14ac:dyDescent="0.2">
      <c r="A119" s="44"/>
      <c r="B119" s="642"/>
      <c r="C119" s="175" t="s">
        <v>368</v>
      </c>
      <c r="D119" s="178"/>
      <c r="E119" s="56">
        <v>14</v>
      </c>
      <c r="F119" s="430"/>
      <c r="G119" s="423"/>
      <c r="H119" s="432"/>
      <c r="I119" s="48"/>
      <c r="J119" s="397"/>
      <c r="K119" s="247" t="s">
        <v>369</v>
      </c>
      <c r="L119" s="119">
        <v>14</v>
      </c>
      <c r="M119" s="537"/>
      <c r="N119" s="538"/>
      <c r="O119" s="539"/>
      <c r="P119" s="48"/>
      <c r="Q119" s="155"/>
      <c r="R119" s="44"/>
      <c r="S119" s="44"/>
      <c r="T119" s="44"/>
    </row>
    <row r="120" spans="1:20" s="5" customFormat="1" ht="13.5" hidden="1" customHeight="1" outlineLevel="1" thickBot="1" x14ac:dyDescent="0.25">
      <c r="A120" s="44"/>
      <c r="B120" s="643"/>
      <c r="C120" s="16" t="s">
        <v>370</v>
      </c>
      <c r="D120" s="86"/>
      <c r="E120" s="57">
        <v>15</v>
      </c>
      <c r="F120" s="650"/>
      <c r="G120" s="428"/>
      <c r="H120" s="651"/>
      <c r="I120" s="48"/>
      <c r="J120" s="398"/>
      <c r="K120" s="68" t="s">
        <v>371</v>
      </c>
      <c r="L120" s="57">
        <v>15</v>
      </c>
      <c r="M120" s="389"/>
      <c r="N120" s="390"/>
      <c r="O120" s="391"/>
      <c r="P120" s="48"/>
      <c r="Q120" s="35"/>
      <c r="R120" s="44"/>
      <c r="S120" s="44"/>
      <c r="T120" s="44"/>
    </row>
    <row r="121" spans="1:20" s="5" customFormat="1" ht="12.75" hidden="1" customHeight="1" outlineLevel="1" x14ac:dyDescent="0.2">
      <c r="A121" s="44"/>
      <c r="B121" s="642"/>
      <c r="C121" s="15" t="s">
        <v>375</v>
      </c>
      <c r="D121" s="83"/>
      <c r="E121" s="56">
        <v>16</v>
      </c>
      <c r="F121" s="652"/>
      <c r="G121" s="653"/>
      <c r="H121" s="654"/>
      <c r="I121" s="48"/>
      <c r="J121" s="396"/>
      <c r="K121" s="12" t="s">
        <v>376</v>
      </c>
      <c r="L121" s="56">
        <v>16</v>
      </c>
      <c r="M121" s="534"/>
      <c r="N121" s="535"/>
      <c r="O121" s="536"/>
      <c r="P121" s="48"/>
      <c r="Q121" s="48"/>
      <c r="R121" s="44"/>
      <c r="S121" s="44"/>
      <c r="T121" s="44"/>
    </row>
    <row r="122" spans="1:20" s="5" customFormat="1" ht="13.5" hidden="1" customHeight="1" outlineLevel="1" thickBot="1" x14ac:dyDescent="0.25">
      <c r="A122" s="44"/>
      <c r="B122" s="643"/>
      <c r="C122" s="16" t="s">
        <v>377</v>
      </c>
      <c r="D122" s="84"/>
      <c r="E122" s="58">
        <v>17</v>
      </c>
      <c r="F122" s="399"/>
      <c r="G122" s="440"/>
      <c r="H122" s="401"/>
      <c r="I122" s="48"/>
      <c r="J122" s="397"/>
      <c r="K122" s="14" t="s">
        <v>378</v>
      </c>
      <c r="L122" s="58">
        <v>17</v>
      </c>
      <c r="M122" s="389"/>
      <c r="N122" s="390"/>
      <c r="O122" s="391"/>
      <c r="P122" s="48"/>
      <c r="Q122" s="48"/>
      <c r="R122" s="44"/>
      <c r="S122" s="44"/>
      <c r="T122" s="44"/>
    </row>
    <row r="123" spans="1:20" s="5" customFormat="1" ht="12.75" hidden="1" customHeight="1" outlineLevel="1" x14ac:dyDescent="0.2">
      <c r="A123" s="44"/>
      <c r="B123" s="642"/>
      <c r="C123" s="175" t="s">
        <v>379</v>
      </c>
      <c r="D123" s="178"/>
      <c r="E123" s="119">
        <v>18</v>
      </c>
      <c r="F123" s="407"/>
      <c r="G123" s="622"/>
      <c r="H123" s="409"/>
      <c r="I123" s="48"/>
      <c r="J123" s="397"/>
      <c r="K123" s="174" t="s">
        <v>380</v>
      </c>
      <c r="L123" s="119">
        <v>18</v>
      </c>
      <c r="M123" s="537"/>
      <c r="N123" s="538"/>
      <c r="O123" s="539"/>
      <c r="P123" s="48"/>
      <c r="Q123" s="155"/>
      <c r="R123" s="44"/>
      <c r="S123" s="44"/>
      <c r="T123" s="44"/>
    </row>
    <row r="124" spans="1:20" s="5" customFormat="1" ht="13.5" hidden="1" customHeight="1" outlineLevel="1" thickBot="1" x14ac:dyDescent="0.25">
      <c r="A124" s="44"/>
      <c r="B124" s="643"/>
      <c r="C124" s="70" t="s">
        <v>381</v>
      </c>
      <c r="D124" s="86"/>
      <c r="E124" s="57">
        <v>19</v>
      </c>
      <c r="F124" s="650"/>
      <c r="G124" s="428"/>
      <c r="H124" s="651"/>
      <c r="I124" s="48"/>
      <c r="J124" s="398"/>
      <c r="K124" s="14" t="s">
        <v>382</v>
      </c>
      <c r="L124" s="57">
        <v>19</v>
      </c>
      <c r="M124" s="526"/>
      <c r="N124" s="527"/>
      <c r="O124" s="528"/>
      <c r="P124" s="48"/>
      <c r="Q124" s="35"/>
      <c r="R124" s="44"/>
      <c r="S124" s="44"/>
      <c r="T124" s="44"/>
    </row>
    <row r="125" spans="1:20" collapsed="1" x14ac:dyDescent="0.2">
      <c r="A125" s="29"/>
      <c r="B125" s="29"/>
      <c r="C125" s="592" t="s">
        <v>14</v>
      </c>
      <c r="D125" s="593"/>
      <c r="E125" s="594"/>
      <c r="F125" s="75">
        <f>IF(F127 &gt; 0,(F126/F127),0)</f>
        <v>0.16666666666666666</v>
      </c>
      <c r="G125" s="60"/>
      <c r="H125" s="60"/>
      <c r="I125" s="36"/>
      <c r="J125" s="35"/>
      <c r="K125" s="743" t="s">
        <v>15</v>
      </c>
      <c r="L125" s="594"/>
      <c r="M125" s="246">
        <f>IF(M127 &gt; 0,(M126/M127),0)</f>
        <v>0</v>
      </c>
      <c r="N125" s="10"/>
      <c r="O125" s="179"/>
      <c r="P125" s="36"/>
      <c r="Q125" s="115"/>
      <c r="R125" s="29"/>
      <c r="S125" s="29"/>
      <c r="T125" s="29"/>
    </row>
    <row r="126" spans="1:20" x14ac:dyDescent="0.2">
      <c r="B126"/>
      <c r="C126" s="744" t="s">
        <v>2</v>
      </c>
      <c r="D126" s="744"/>
      <c r="E126" s="586"/>
      <c r="F126" s="54">
        <f>COUNTIF(F105:F124,"Reserve")</f>
        <v>2</v>
      </c>
      <c r="G126" s="30"/>
      <c r="H126" s="30"/>
      <c r="I126" s="48"/>
      <c r="J126" s="48"/>
      <c r="K126" s="585" t="s">
        <v>2</v>
      </c>
      <c r="L126" s="585"/>
      <c r="M126" s="59">
        <f>COUNTIF(M105:M124,"Reserve")</f>
        <v>0</v>
      </c>
      <c r="N126" s="4"/>
      <c r="O126" s="179"/>
      <c r="P126" s="36"/>
      <c r="Q126" s="115"/>
      <c r="R126" s="29"/>
      <c r="S126" s="29"/>
      <c r="T126" s="29"/>
    </row>
    <row r="127" spans="1:20" x14ac:dyDescent="0.2">
      <c r="B127"/>
      <c r="C127" s="745" t="s">
        <v>3</v>
      </c>
      <c r="D127" s="745"/>
      <c r="E127" s="745"/>
      <c r="F127" s="54">
        <f>COUNTA(F105:F124)</f>
        <v>12</v>
      </c>
      <c r="G127" s="30"/>
      <c r="H127" s="30"/>
      <c r="I127" s="48"/>
      <c r="J127" s="48"/>
      <c r="K127" s="585" t="s">
        <v>3</v>
      </c>
      <c r="L127" s="585"/>
      <c r="M127" s="54">
        <f>COUNTA(M105:M124)</f>
        <v>0</v>
      </c>
      <c r="N127" s="4"/>
      <c r="O127" s="179"/>
      <c r="P127" s="36"/>
      <c r="Q127" s="115"/>
      <c r="R127" s="29"/>
      <c r="S127" s="29"/>
      <c r="T127" s="29"/>
    </row>
    <row r="128" spans="1:20" x14ac:dyDescent="0.2">
      <c r="A128" s="31"/>
      <c r="B128" s="540" t="s">
        <v>0</v>
      </c>
      <c r="C128" s="540"/>
      <c r="D128" s="540"/>
      <c r="E128" s="540"/>
      <c r="F128" s="540"/>
      <c r="G128" s="740" t="str">
        <f>'Lista IO'!G161</f>
        <v>Lista de IO</v>
      </c>
      <c r="H128" s="740"/>
      <c r="I128" s="740"/>
      <c r="J128" s="740"/>
      <c r="K128" s="740"/>
      <c r="L128" s="740"/>
      <c r="M128" s="740"/>
      <c r="N128" s="217" t="s">
        <v>49</v>
      </c>
      <c r="O128" s="191">
        <f>'Lista IO'!T161</f>
        <v>0</v>
      </c>
      <c r="P128" s="186"/>
      <c r="Q128" s="142"/>
    </row>
    <row r="129" spans="1:17" x14ac:dyDescent="0.2">
      <c r="A129" s="31"/>
      <c r="B129" s="540" t="s">
        <v>1</v>
      </c>
      <c r="C129" s="540"/>
      <c r="D129" s="540"/>
      <c r="E129" s="540"/>
      <c r="F129" s="540"/>
      <c r="G129" s="250" t="str">
        <f>'Lista IO'!G162</f>
        <v>PRJ19.0010.6.4</v>
      </c>
      <c r="H129" s="740" t="str">
        <f>'Lista IO'!J162</f>
        <v>LG HV BDU Assembly Line - ST4</v>
      </c>
      <c r="I129" s="740"/>
      <c r="J129" s="740"/>
      <c r="K129" s="740"/>
      <c r="L129" s="740"/>
      <c r="M129" s="740"/>
      <c r="N129" s="217" t="s">
        <v>50</v>
      </c>
      <c r="O129" s="122">
        <f>'Lista IO'!T162</f>
        <v>44200</v>
      </c>
      <c r="P129" s="213"/>
      <c r="Q129" s="142"/>
    </row>
    <row r="130" spans="1:17" x14ac:dyDescent="0.2">
      <c r="A130" s="31"/>
      <c r="B130" s="540" t="s">
        <v>55</v>
      </c>
      <c r="C130" s="540"/>
      <c r="D130" s="540"/>
      <c r="E130" s="540"/>
      <c r="F130" s="540"/>
      <c r="G130" s="740" t="str">
        <f>'Lista IO'!G163</f>
        <v>ST4 - Secondary lock insertion machine for Fuse and Lower cove</v>
      </c>
      <c r="H130" s="740"/>
      <c r="I130" s="740"/>
      <c r="J130" s="740"/>
      <c r="K130" s="740"/>
      <c r="L130" s="740"/>
      <c r="M130" s="740"/>
      <c r="N130" s="217" t="s">
        <v>456</v>
      </c>
      <c r="O130" s="203" t="str">
        <f>'Lista IO'!T163</f>
        <v>Rui Ferreira</v>
      </c>
      <c r="P130" s="212"/>
      <c r="Q130" s="142"/>
    </row>
    <row r="131" spans="1:17" x14ac:dyDescent="0.2">
      <c r="A131" s="31"/>
      <c r="B131" s="540" t="s">
        <v>641</v>
      </c>
      <c r="C131" s="540"/>
      <c r="D131" s="540"/>
      <c r="E131" s="540"/>
      <c r="F131" s="540"/>
      <c r="G131" s="250">
        <f>'Lista IO'!G164</f>
        <v>0</v>
      </c>
      <c r="H131" s="741" t="s">
        <v>640</v>
      </c>
      <c r="I131" s="741"/>
      <c r="J131" s="742">
        <f>'Lista IO'!N164</f>
        <v>0</v>
      </c>
      <c r="K131" s="742"/>
      <c r="L131" s="742"/>
      <c r="M131" s="742"/>
      <c r="N131" s="217" t="s">
        <v>134</v>
      </c>
      <c r="O131" s="122" t="str">
        <f>'Lista IO'!T164</f>
        <v>rev0.2</v>
      </c>
      <c r="P131" s="213"/>
      <c r="Q131" s="142" t="str">
        <f>'Lista IO'!V164</f>
        <v>CTR</v>
      </c>
    </row>
    <row r="132" spans="1:17" x14ac:dyDescent="0.2">
      <c r="A132" s="31"/>
      <c r="B132" s="32"/>
      <c r="C132" s="32"/>
      <c r="D132" s="32"/>
      <c r="E132" s="32"/>
      <c r="F132" s="31"/>
      <c r="G132" s="33"/>
      <c r="H132" s="33"/>
      <c r="I132" s="31"/>
      <c r="J132" s="32"/>
      <c r="K132" s="249"/>
      <c r="L132" s="32"/>
      <c r="M132" s="34"/>
      <c r="N132" s="34"/>
      <c r="O132" s="34"/>
    </row>
    <row r="133" spans="1:17" x14ac:dyDescent="0.2">
      <c r="A133" s="31"/>
      <c r="B133" s="641" t="s">
        <v>892</v>
      </c>
      <c r="C133" s="641"/>
      <c r="D133" s="641"/>
      <c r="E133" s="641"/>
      <c r="F133" s="641"/>
      <c r="G133" s="641"/>
      <c r="H133" s="641"/>
      <c r="I133" s="641"/>
      <c r="J133" s="641"/>
      <c r="K133" s="641"/>
      <c r="L133" s="641"/>
      <c r="M133" s="641"/>
      <c r="N133" s="641"/>
      <c r="O133" s="641"/>
    </row>
    <row r="134" spans="1:17" x14ac:dyDescent="0.2">
      <c r="A134" s="31"/>
      <c r="B134" s="641" t="s">
        <v>893</v>
      </c>
      <c r="C134" s="641"/>
      <c r="D134" s="641"/>
      <c r="E134" s="641"/>
      <c r="F134" s="641"/>
      <c r="G134" s="641"/>
      <c r="H134" s="641"/>
      <c r="I134" s="641"/>
      <c r="J134" s="641"/>
      <c r="K134" s="641"/>
      <c r="L134" s="641"/>
      <c r="M134" s="641"/>
      <c r="N134" s="641"/>
      <c r="O134" s="641"/>
    </row>
    <row r="135" spans="1:17" x14ac:dyDescent="0.2">
      <c r="A135" s="31"/>
      <c r="B135" s="641" t="s">
        <v>894</v>
      </c>
      <c r="C135" s="641"/>
      <c r="D135" s="641"/>
      <c r="E135" s="641"/>
      <c r="F135" s="641"/>
      <c r="G135" s="641"/>
      <c r="H135" s="641"/>
      <c r="I135" s="641"/>
      <c r="J135" s="641"/>
      <c r="K135" s="641"/>
      <c r="L135" s="641"/>
      <c r="M135" s="641"/>
      <c r="N135" s="641"/>
      <c r="O135" s="641"/>
    </row>
    <row r="136" spans="1:17" x14ac:dyDescent="0.2">
      <c r="A136" s="31"/>
      <c r="B136" s="32"/>
      <c r="C136" s="32"/>
      <c r="D136" s="32"/>
      <c r="E136" s="32"/>
      <c r="F136" s="31"/>
      <c r="G136" s="33"/>
      <c r="H136" s="33"/>
      <c r="I136" s="31"/>
      <c r="J136" s="32"/>
      <c r="K136" s="249"/>
      <c r="L136" s="32"/>
      <c r="M136" s="34"/>
      <c r="N136" s="34"/>
      <c r="O136" s="34"/>
      <c r="P136"/>
      <c r="Q136"/>
    </row>
    <row r="137" spans="1:17" x14ac:dyDescent="0.2">
      <c r="A137" s="31"/>
      <c r="B137" s="32"/>
      <c r="C137" s="32"/>
      <c r="D137" s="32"/>
      <c r="E137" s="32"/>
      <c r="F137" s="31"/>
      <c r="G137" s="33"/>
      <c r="H137" s="33"/>
      <c r="I137" s="31"/>
      <c r="J137" s="32"/>
      <c r="K137" s="249"/>
      <c r="L137" s="32"/>
      <c r="M137" s="34"/>
      <c r="N137" s="34"/>
      <c r="O137" s="34"/>
      <c r="P137"/>
      <c r="Q137"/>
    </row>
    <row r="138" spans="1:17" x14ac:dyDescent="0.2">
      <c r="A138" s="31"/>
      <c r="B138" s="32"/>
      <c r="C138" s="32"/>
      <c r="D138" s="32"/>
      <c r="E138" s="32"/>
      <c r="F138" s="31"/>
      <c r="G138" s="33"/>
      <c r="H138" s="33"/>
      <c r="I138" s="31"/>
      <c r="J138" s="32"/>
      <c r="K138" s="249"/>
      <c r="L138" s="32"/>
      <c r="M138" s="34"/>
      <c r="N138" s="34"/>
      <c r="O138" s="34"/>
      <c r="P138"/>
      <c r="Q138"/>
    </row>
    <row r="139" spans="1:17" x14ac:dyDescent="0.2">
      <c r="A139" s="31"/>
      <c r="B139" s="32"/>
      <c r="C139" s="32"/>
      <c r="D139" s="32"/>
      <c r="E139" s="32"/>
      <c r="F139" s="31"/>
      <c r="G139" s="33"/>
      <c r="H139" s="33"/>
      <c r="I139" s="31"/>
      <c r="J139" s="32"/>
      <c r="K139" s="249"/>
      <c r="L139" s="32"/>
      <c r="M139" s="34"/>
      <c r="N139" s="34"/>
      <c r="O139" s="34"/>
      <c r="P139"/>
      <c r="Q139"/>
    </row>
    <row r="140" spans="1:17" x14ac:dyDescent="0.2">
      <c r="A140" s="31"/>
      <c r="B140" s="32"/>
      <c r="C140" s="32"/>
      <c r="D140" s="32"/>
      <c r="E140" s="32"/>
      <c r="F140" s="31"/>
      <c r="G140" s="33"/>
      <c r="H140" s="33"/>
      <c r="I140" s="31"/>
      <c r="J140" s="32"/>
      <c r="K140" s="249"/>
      <c r="L140" s="32"/>
      <c r="M140" s="34"/>
      <c r="N140" s="34"/>
      <c r="O140" s="34"/>
      <c r="P140"/>
      <c r="Q140"/>
    </row>
    <row r="141" spans="1:17" x14ac:dyDescent="0.2">
      <c r="A141" s="31"/>
      <c r="B141" s="32"/>
      <c r="C141" s="32"/>
      <c r="D141" s="32"/>
      <c r="E141" s="32"/>
      <c r="F141" s="31"/>
      <c r="G141" s="33"/>
      <c r="H141" s="33"/>
      <c r="I141" s="31"/>
      <c r="J141" s="32"/>
      <c r="K141" s="249"/>
      <c r="L141" s="32"/>
      <c r="M141" s="34"/>
      <c r="N141" s="34"/>
      <c r="O141" s="34"/>
      <c r="P141"/>
      <c r="Q141"/>
    </row>
    <row r="142" spans="1:17" x14ac:dyDescent="0.2">
      <c r="A142" s="31"/>
      <c r="B142" s="32"/>
      <c r="C142" s="32"/>
      <c r="D142" s="32"/>
      <c r="E142" s="32"/>
      <c r="F142" s="31"/>
      <c r="G142" s="33"/>
      <c r="H142" s="33"/>
      <c r="I142" s="31"/>
      <c r="J142" s="32"/>
      <c r="K142" s="249"/>
      <c r="L142" s="32"/>
      <c r="M142" s="34"/>
      <c r="N142" s="34"/>
      <c r="O142" s="34"/>
      <c r="P142"/>
      <c r="Q142"/>
    </row>
    <row r="143" spans="1:17" x14ac:dyDescent="0.2">
      <c r="A143" s="31"/>
      <c r="B143" s="32"/>
      <c r="C143" s="32"/>
      <c r="D143" s="32"/>
      <c r="E143" s="32"/>
      <c r="F143" s="31"/>
      <c r="G143" s="33"/>
      <c r="H143" s="33"/>
      <c r="I143" s="31"/>
      <c r="J143" s="32"/>
      <c r="K143" s="249"/>
      <c r="L143" s="32"/>
      <c r="M143" s="34"/>
      <c r="N143" s="34"/>
      <c r="O143" s="34"/>
      <c r="P143"/>
      <c r="Q143"/>
    </row>
    <row r="144" spans="1:17" x14ac:dyDescent="0.2">
      <c r="A144" s="31"/>
      <c r="B144" s="32"/>
      <c r="C144" s="32"/>
      <c r="D144" s="32"/>
      <c r="E144" s="32"/>
      <c r="F144" s="31"/>
      <c r="G144" s="33"/>
      <c r="H144" s="33"/>
      <c r="I144" s="31"/>
      <c r="J144" s="32"/>
      <c r="K144" s="249"/>
      <c r="L144" s="32"/>
      <c r="M144" s="34"/>
      <c r="N144" s="34"/>
      <c r="O144" s="34"/>
      <c r="P144"/>
      <c r="Q144"/>
    </row>
    <row r="145" spans="1:17" x14ac:dyDescent="0.2">
      <c r="A145" s="31"/>
      <c r="B145" s="32"/>
      <c r="C145" s="32"/>
      <c r="D145" s="32"/>
      <c r="E145" s="32"/>
      <c r="F145" s="31"/>
      <c r="G145" s="33"/>
      <c r="H145" s="33"/>
      <c r="I145" s="31"/>
      <c r="J145" s="32"/>
      <c r="K145" s="249"/>
      <c r="L145" s="32"/>
      <c r="M145" s="34"/>
      <c r="N145" s="34"/>
      <c r="O145" s="34"/>
      <c r="P145"/>
      <c r="Q145"/>
    </row>
    <row r="146" spans="1:17" x14ac:dyDescent="0.2">
      <c r="A146" s="31"/>
      <c r="B146" s="32"/>
      <c r="C146" s="32"/>
      <c r="D146" s="32"/>
      <c r="E146" s="32"/>
      <c r="F146" s="31"/>
      <c r="G146" s="33"/>
      <c r="H146" s="33"/>
      <c r="I146" s="31"/>
      <c r="J146" s="32"/>
      <c r="K146" s="249"/>
      <c r="L146" s="32"/>
      <c r="M146" s="34"/>
      <c r="N146" s="34"/>
      <c r="O146" s="34"/>
      <c r="P146"/>
      <c r="Q146"/>
    </row>
    <row r="147" spans="1:17" x14ac:dyDescent="0.2">
      <c r="A147" s="31"/>
      <c r="B147" s="32"/>
      <c r="C147" s="32"/>
      <c r="D147" s="32"/>
      <c r="E147" s="32"/>
      <c r="F147" s="31"/>
      <c r="G147" s="33"/>
      <c r="H147" s="33"/>
      <c r="I147" s="31"/>
      <c r="J147" s="32"/>
      <c r="K147" s="249"/>
      <c r="L147" s="32"/>
      <c r="M147" s="34"/>
      <c r="N147" s="34"/>
      <c r="O147" s="34"/>
      <c r="P147"/>
      <c r="Q147"/>
    </row>
    <row r="148" spans="1:17" x14ac:dyDescent="0.2">
      <c r="A148" s="31"/>
      <c r="B148" s="32"/>
      <c r="C148" s="32"/>
      <c r="D148" s="32"/>
      <c r="E148" s="32"/>
      <c r="F148" s="31"/>
      <c r="G148" s="33"/>
      <c r="H148" s="33"/>
      <c r="I148" s="31"/>
      <c r="J148" s="32"/>
      <c r="K148" s="249"/>
      <c r="L148" s="32"/>
      <c r="M148" s="34"/>
      <c r="N148" s="34"/>
      <c r="O148" s="34"/>
      <c r="P148"/>
      <c r="Q148"/>
    </row>
    <row r="149" spans="1:17" x14ac:dyDescent="0.2">
      <c r="A149" s="31"/>
      <c r="B149" s="32"/>
      <c r="C149" s="32"/>
      <c r="D149" s="32"/>
      <c r="E149" s="32"/>
      <c r="F149" s="31"/>
      <c r="G149" s="33"/>
      <c r="H149" s="33"/>
      <c r="I149" s="31"/>
      <c r="J149" s="32"/>
      <c r="K149" s="249"/>
      <c r="L149" s="32"/>
      <c r="M149" s="34"/>
      <c r="N149" s="34"/>
      <c r="O149" s="34"/>
      <c r="P149"/>
      <c r="Q149"/>
    </row>
    <row r="150" spans="1:17" x14ac:dyDescent="0.2">
      <c r="A150" s="31"/>
      <c r="B150" s="32"/>
      <c r="C150" s="32"/>
      <c r="D150" s="32"/>
      <c r="E150" s="32"/>
      <c r="F150" s="31"/>
      <c r="G150" s="33"/>
      <c r="H150" s="33"/>
      <c r="I150" s="31"/>
      <c r="J150" s="32"/>
      <c r="K150" s="249"/>
      <c r="L150" s="32"/>
      <c r="M150" s="34"/>
      <c r="N150" s="34"/>
      <c r="O150" s="34"/>
      <c r="P150"/>
      <c r="Q150"/>
    </row>
    <row r="151" spans="1:17" x14ac:dyDescent="0.2">
      <c r="A151" s="31"/>
      <c r="B151" s="32"/>
      <c r="C151" s="32"/>
      <c r="D151" s="32"/>
      <c r="E151" s="32"/>
      <c r="F151" s="31"/>
      <c r="G151" s="33"/>
      <c r="H151" s="33"/>
      <c r="I151" s="31"/>
      <c r="J151" s="32"/>
      <c r="K151" s="249"/>
      <c r="L151" s="32"/>
      <c r="M151" s="34"/>
      <c r="N151" s="34"/>
      <c r="O151" s="34"/>
      <c r="P151"/>
      <c r="Q151"/>
    </row>
    <row r="152" spans="1:17" x14ac:dyDescent="0.2">
      <c r="A152" s="31"/>
      <c r="B152" s="32"/>
      <c r="C152" s="32"/>
      <c r="D152" s="32"/>
      <c r="E152" s="32"/>
      <c r="F152" s="31"/>
      <c r="G152" s="33"/>
      <c r="H152" s="33"/>
      <c r="I152" s="31"/>
      <c r="J152" s="32"/>
      <c r="K152" s="249"/>
      <c r="L152" s="32"/>
      <c r="M152" s="34"/>
      <c r="N152" s="34"/>
      <c r="O152" s="34"/>
      <c r="P152"/>
      <c r="Q152"/>
    </row>
    <row r="153" spans="1:17" x14ac:dyDescent="0.2">
      <c r="A153" s="31"/>
      <c r="B153" s="32"/>
      <c r="C153" s="32"/>
      <c r="D153" s="32"/>
      <c r="E153" s="32"/>
      <c r="F153" s="31"/>
      <c r="G153" s="33"/>
      <c r="H153" s="33"/>
      <c r="I153" s="31"/>
      <c r="J153" s="32"/>
      <c r="K153" s="249"/>
      <c r="L153" s="32"/>
      <c r="M153" s="34"/>
      <c r="N153" s="34"/>
      <c r="O153" s="34"/>
      <c r="P153"/>
      <c r="Q153"/>
    </row>
    <row r="154" spans="1:17" x14ac:dyDescent="0.2">
      <c r="A154" s="31"/>
      <c r="B154" s="32"/>
      <c r="C154" s="32"/>
      <c r="D154" s="32"/>
      <c r="E154" s="32"/>
      <c r="F154" s="31"/>
      <c r="G154" s="33"/>
      <c r="H154" s="33"/>
      <c r="I154" s="31"/>
      <c r="J154" s="32"/>
      <c r="K154" s="249"/>
      <c r="L154" s="32"/>
      <c r="M154" s="34"/>
      <c r="N154" s="34"/>
      <c r="O154" s="34"/>
      <c r="P154"/>
      <c r="Q154"/>
    </row>
    <row r="155" spans="1:17" x14ac:dyDescent="0.2">
      <c r="A155" s="31"/>
      <c r="B155" s="32"/>
      <c r="C155" s="32"/>
      <c r="D155" s="32"/>
      <c r="E155" s="32"/>
      <c r="F155" s="31"/>
      <c r="G155" s="33"/>
      <c r="H155" s="33"/>
      <c r="I155" s="31"/>
      <c r="J155" s="32"/>
      <c r="K155" s="249"/>
      <c r="L155" s="32"/>
      <c r="M155" s="34"/>
      <c r="N155" s="34"/>
      <c r="O155" s="34"/>
      <c r="P155"/>
      <c r="Q155"/>
    </row>
    <row r="156" spans="1:17" x14ac:dyDescent="0.2">
      <c r="A156" s="31"/>
      <c r="B156" s="32"/>
      <c r="C156" s="32"/>
      <c r="D156" s="32"/>
      <c r="E156" s="32"/>
      <c r="F156" s="31"/>
      <c r="G156" s="33"/>
      <c r="H156" s="33"/>
      <c r="I156" s="31"/>
      <c r="J156" s="32"/>
      <c r="K156" s="249"/>
      <c r="L156" s="32"/>
      <c r="M156" s="34"/>
      <c r="N156" s="34"/>
      <c r="O156" s="34"/>
      <c r="P156"/>
      <c r="Q156"/>
    </row>
    <row r="157" spans="1:17" x14ac:dyDescent="0.2">
      <c r="A157" s="31"/>
      <c r="B157" s="32"/>
      <c r="C157" s="32"/>
      <c r="D157" s="32"/>
      <c r="E157" s="32"/>
      <c r="F157" s="31"/>
      <c r="G157" s="33"/>
      <c r="H157" s="33"/>
      <c r="I157" s="31"/>
      <c r="J157" s="32"/>
      <c r="K157" s="249"/>
      <c r="L157" s="32"/>
      <c r="M157" s="34"/>
      <c r="N157" s="34"/>
      <c r="O157" s="34"/>
      <c r="P157"/>
      <c r="Q157"/>
    </row>
    <row r="158" spans="1:17" x14ac:dyDescent="0.2">
      <c r="A158" s="31"/>
      <c r="B158" s="32"/>
      <c r="C158" s="32"/>
      <c r="D158" s="32"/>
      <c r="E158" s="32"/>
      <c r="F158" s="31"/>
      <c r="G158" s="33"/>
      <c r="H158" s="33"/>
      <c r="I158" s="31"/>
      <c r="J158" s="32"/>
      <c r="K158" s="249"/>
      <c r="L158" s="32"/>
      <c r="M158" s="34"/>
      <c r="N158" s="34"/>
      <c r="O158" s="34"/>
      <c r="P158"/>
      <c r="Q158"/>
    </row>
    <row r="159" spans="1:17" x14ac:dyDescent="0.2">
      <c r="K159" s="54"/>
      <c r="M159" s="3"/>
      <c r="N159" s="3"/>
      <c r="O159" s="3"/>
      <c r="P159"/>
      <c r="Q159"/>
    </row>
    <row r="160" spans="1:17" x14ac:dyDescent="0.2">
      <c r="K160" s="54"/>
      <c r="M160" s="3"/>
      <c r="N160" s="3"/>
      <c r="O160" s="3"/>
      <c r="P160"/>
      <c r="Q160"/>
    </row>
    <row r="161" spans="2:17" x14ac:dyDescent="0.2">
      <c r="K161" s="54"/>
      <c r="M161" s="3"/>
      <c r="N161" s="3"/>
      <c r="O161" s="3"/>
      <c r="P161"/>
      <c r="Q161"/>
    </row>
    <row r="162" spans="2:17" x14ac:dyDescent="0.2">
      <c r="K162" s="54"/>
      <c r="M162" s="3"/>
      <c r="N162" s="3"/>
      <c r="O162" s="3"/>
      <c r="P162"/>
      <c r="Q162"/>
    </row>
    <row r="163" spans="2:17" x14ac:dyDescent="0.2">
      <c r="K163" s="54"/>
      <c r="M163" s="3"/>
      <c r="N163" s="3"/>
      <c r="O163" s="3"/>
      <c r="P163"/>
      <c r="Q163"/>
    </row>
    <row r="164" spans="2:17" x14ac:dyDescent="0.2">
      <c r="K164" s="54"/>
      <c r="M164" s="3"/>
      <c r="N164" s="3"/>
      <c r="O164" s="3"/>
      <c r="P164"/>
      <c r="Q164"/>
    </row>
    <row r="165" spans="2:17" x14ac:dyDescent="0.2">
      <c r="K165" s="54"/>
      <c r="M165" s="3"/>
      <c r="N165" s="3"/>
      <c r="O165" s="3"/>
      <c r="P165"/>
      <c r="Q165"/>
    </row>
    <row r="166" spans="2:17" x14ac:dyDescent="0.2">
      <c r="K166" s="54"/>
      <c r="M166" s="3"/>
      <c r="N166" s="3"/>
      <c r="O166" s="3"/>
      <c r="P166"/>
      <c r="Q166"/>
    </row>
    <row r="167" spans="2:17" x14ac:dyDescent="0.2">
      <c r="K167" s="54"/>
      <c r="M167" s="3"/>
      <c r="N167" s="3"/>
      <c r="O167" s="3"/>
      <c r="P167"/>
      <c r="Q167"/>
    </row>
    <row r="168" spans="2:17" x14ac:dyDescent="0.2">
      <c r="B168"/>
      <c r="C168"/>
      <c r="D168"/>
      <c r="E168"/>
      <c r="G168"/>
      <c r="H168"/>
      <c r="J168"/>
      <c r="K168" s="54"/>
      <c r="M168" s="3"/>
      <c r="N168" s="3"/>
      <c r="O168" s="3"/>
      <c r="P168"/>
      <c r="Q168"/>
    </row>
    <row r="169" spans="2:17" x14ac:dyDescent="0.2">
      <c r="B169"/>
      <c r="C169"/>
      <c r="D169"/>
      <c r="E169"/>
      <c r="G169"/>
      <c r="H169"/>
      <c r="J169"/>
      <c r="K169" s="54"/>
      <c r="M169" s="3"/>
      <c r="N169" s="3"/>
      <c r="O169" s="3"/>
      <c r="P169"/>
      <c r="Q169"/>
    </row>
    <row r="170" spans="2:17" x14ac:dyDescent="0.2">
      <c r="B170"/>
      <c r="C170"/>
      <c r="D170"/>
      <c r="E170"/>
      <c r="G170"/>
      <c r="H170"/>
      <c r="J170"/>
      <c r="K170" s="54"/>
      <c r="M170" s="3"/>
      <c r="N170" s="3"/>
      <c r="O170" s="3"/>
      <c r="P170"/>
      <c r="Q170"/>
    </row>
    <row r="171" spans="2:17" x14ac:dyDescent="0.2">
      <c r="B171"/>
      <c r="C171"/>
      <c r="D171"/>
      <c r="E171"/>
      <c r="G171"/>
      <c r="H171"/>
      <c r="J171"/>
      <c r="K171" s="54"/>
      <c r="M171" s="3"/>
      <c r="N171" s="3"/>
      <c r="O171" s="3"/>
      <c r="P171"/>
      <c r="Q171"/>
    </row>
    <row r="172" spans="2:17" x14ac:dyDescent="0.2">
      <c r="B172"/>
      <c r="C172"/>
      <c r="D172"/>
      <c r="E172"/>
      <c r="G172"/>
      <c r="H172"/>
      <c r="J172"/>
      <c r="K172" s="54"/>
      <c r="M172" s="3"/>
      <c r="N172" s="3"/>
      <c r="O172" s="3"/>
      <c r="P172"/>
      <c r="Q172"/>
    </row>
    <row r="173" spans="2:17" x14ac:dyDescent="0.2">
      <c r="B173"/>
      <c r="C173"/>
      <c r="D173"/>
      <c r="E173"/>
      <c r="G173"/>
      <c r="H173"/>
      <c r="J173"/>
      <c r="K173" s="54"/>
      <c r="M173" s="3"/>
      <c r="N173" s="3"/>
      <c r="O173" s="3"/>
      <c r="P173"/>
      <c r="Q173"/>
    </row>
    <row r="174" spans="2:17" x14ac:dyDescent="0.2">
      <c r="B174"/>
      <c r="C174"/>
      <c r="D174"/>
      <c r="E174"/>
      <c r="G174"/>
      <c r="H174"/>
      <c r="J174"/>
      <c r="K174" s="54"/>
      <c r="M174" s="3"/>
      <c r="N174" s="3"/>
      <c r="O174" s="3"/>
      <c r="P174"/>
      <c r="Q174"/>
    </row>
    <row r="175" spans="2:17" x14ac:dyDescent="0.2">
      <c r="B175"/>
      <c r="C175"/>
      <c r="D175"/>
      <c r="E175"/>
      <c r="G175"/>
      <c r="H175"/>
      <c r="J175"/>
      <c r="K175" s="54"/>
      <c r="M175" s="3"/>
      <c r="N175" s="3"/>
      <c r="O175" s="3"/>
      <c r="P175"/>
      <c r="Q175"/>
    </row>
    <row r="176" spans="2:17" x14ac:dyDescent="0.2">
      <c r="B176"/>
      <c r="C176"/>
      <c r="D176"/>
      <c r="E176"/>
      <c r="G176"/>
      <c r="H176"/>
      <c r="J176"/>
      <c r="K176" s="54"/>
      <c r="M176" s="3"/>
      <c r="N176" s="3"/>
      <c r="O176" s="3"/>
      <c r="P176"/>
      <c r="Q176"/>
    </row>
    <row r="177" spans="2:17" x14ac:dyDescent="0.2">
      <c r="B177"/>
      <c r="C177"/>
      <c r="D177"/>
      <c r="E177"/>
      <c r="G177"/>
      <c r="H177"/>
      <c r="J177"/>
      <c r="K177" s="54"/>
      <c r="M177" s="3"/>
      <c r="N177" s="3"/>
      <c r="O177" s="3"/>
      <c r="P177"/>
      <c r="Q177"/>
    </row>
    <row r="178" spans="2:17" x14ac:dyDescent="0.2">
      <c r="B178"/>
      <c r="C178"/>
      <c r="D178"/>
      <c r="E178"/>
      <c r="G178"/>
      <c r="H178"/>
      <c r="J178"/>
      <c r="K178" s="54"/>
      <c r="M178" s="3"/>
      <c r="N178" s="3"/>
      <c r="O178" s="3"/>
      <c r="P178"/>
      <c r="Q178"/>
    </row>
    <row r="179" spans="2:17" x14ac:dyDescent="0.2">
      <c r="B179"/>
      <c r="C179"/>
      <c r="D179"/>
      <c r="E179"/>
      <c r="G179"/>
      <c r="H179"/>
      <c r="J179"/>
      <c r="K179" s="54"/>
      <c r="M179" s="3"/>
      <c r="N179" s="3"/>
      <c r="O179" s="3"/>
      <c r="P179"/>
      <c r="Q179"/>
    </row>
    <row r="180" spans="2:17" x14ac:dyDescent="0.2">
      <c r="B180"/>
      <c r="C180"/>
      <c r="D180"/>
      <c r="E180"/>
      <c r="G180"/>
      <c r="H180"/>
      <c r="J180"/>
      <c r="K180" s="54"/>
      <c r="M180" s="3"/>
      <c r="N180" s="3"/>
      <c r="O180" s="3"/>
      <c r="P180"/>
      <c r="Q180"/>
    </row>
    <row r="181" spans="2:17" x14ac:dyDescent="0.2">
      <c r="B181"/>
      <c r="C181"/>
      <c r="D181"/>
      <c r="E181"/>
      <c r="G181"/>
      <c r="H181"/>
      <c r="J181"/>
      <c r="K181" s="54"/>
      <c r="M181" s="3"/>
      <c r="N181" s="3"/>
      <c r="O181" s="3"/>
      <c r="P181"/>
      <c r="Q181"/>
    </row>
    <row r="182" spans="2:17" x14ac:dyDescent="0.2">
      <c r="B182"/>
      <c r="C182"/>
      <c r="D182"/>
      <c r="E182"/>
      <c r="G182"/>
      <c r="H182"/>
      <c r="J182"/>
      <c r="K182" s="54"/>
      <c r="M182" s="3"/>
      <c r="N182" s="3"/>
      <c r="O182" s="3"/>
      <c r="P182"/>
      <c r="Q182"/>
    </row>
    <row r="183" spans="2:17" x14ac:dyDescent="0.2">
      <c r="B183"/>
      <c r="C183"/>
      <c r="D183"/>
      <c r="E183"/>
      <c r="G183"/>
      <c r="H183"/>
      <c r="J183"/>
      <c r="K183" s="54"/>
      <c r="M183" s="3"/>
      <c r="N183" s="3"/>
      <c r="O183" s="3"/>
      <c r="P183"/>
      <c r="Q183"/>
    </row>
    <row r="184" spans="2:17" x14ac:dyDescent="0.2">
      <c r="B184"/>
      <c r="C184"/>
      <c r="D184"/>
      <c r="E184"/>
      <c r="G184"/>
      <c r="H184"/>
      <c r="J184"/>
      <c r="K184" s="54"/>
      <c r="M184" s="3"/>
      <c r="N184" s="3"/>
      <c r="O184" s="3"/>
      <c r="P184"/>
      <c r="Q184"/>
    </row>
    <row r="185" spans="2:17" x14ac:dyDescent="0.2">
      <c r="B185"/>
      <c r="C185"/>
      <c r="D185"/>
      <c r="E185"/>
      <c r="G185"/>
      <c r="H185"/>
      <c r="J185"/>
      <c r="K185" s="54"/>
      <c r="M185" s="3"/>
      <c r="N185" s="3"/>
      <c r="O185" s="3"/>
      <c r="P185"/>
      <c r="Q185"/>
    </row>
    <row r="186" spans="2:17" x14ac:dyDescent="0.2">
      <c r="B186"/>
      <c r="C186"/>
      <c r="D186"/>
      <c r="E186"/>
      <c r="G186"/>
      <c r="H186"/>
      <c r="J186"/>
      <c r="K186" s="54"/>
      <c r="M186" s="3"/>
      <c r="N186" s="3"/>
      <c r="O186" s="3"/>
      <c r="P186"/>
      <c r="Q186"/>
    </row>
    <row r="187" spans="2:17" x14ac:dyDescent="0.2">
      <c r="B187"/>
      <c r="C187"/>
      <c r="D187"/>
      <c r="E187"/>
      <c r="G187"/>
      <c r="H187"/>
      <c r="J187"/>
      <c r="K187" s="54"/>
      <c r="M187" s="3"/>
      <c r="N187" s="3"/>
      <c r="O187" s="3"/>
      <c r="P187"/>
      <c r="Q187"/>
    </row>
    <row r="188" spans="2:17" x14ac:dyDescent="0.2">
      <c r="B188"/>
      <c r="C188"/>
      <c r="D188"/>
      <c r="E188"/>
      <c r="G188"/>
      <c r="H188"/>
      <c r="J188"/>
      <c r="K188" s="54"/>
      <c r="M188" s="3"/>
      <c r="N188" s="3"/>
      <c r="O188" s="3"/>
      <c r="P188"/>
      <c r="Q188"/>
    </row>
    <row r="189" spans="2:17" x14ac:dyDescent="0.2">
      <c r="B189"/>
      <c r="C189"/>
      <c r="D189"/>
      <c r="E189"/>
      <c r="G189"/>
      <c r="H189"/>
      <c r="J189"/>
      <c r="K189" s="54"/>
      <c r="M189" s="3"/>
      <c r="N189" s="3"/>
      <c r="O189" s="3"/>
      <c r="P189"/>
      <c r="Q189"/>
    </row>
    <row r="190" spans="2:17" x14ac:dyDescent="0.2">
      <c r="B190"/>
      <c r="C190"/>
      <c r="D190"/>
      <c r="E190"/>
      <c r="G190"/>
      <c r="H190"/>
      <c r="J190"/>
      <c r="K190" s="54"/>
      <c r="M190" s="3"/>
      <c r="N190" s="3"/>
      <c r="O190" s="3"/>
      <c r="P190"/>
      <c r="Q190"/>
    </row>
    <row r="191" spans="2:17" x14ac:dyDescent="0.2">
      <c r="B191"/>
      <c r="C191"/>
      <c r="D191"/>
      <c r="E191"/>
      <c r="G191"/>
      <c r="H191"/>
      <c r="J191"/>
      <c r="K191" s="54"/>
      <c r="M191" s="3"/>
      <c r="N191" s="3"/>
      <c r="O191" s="3"/>
      <c r="P191"/>
      <c r="Q191"/>
    </row>
    <row r="192" spans="2:17" x14ac:dyDescent="0.2">
      <c r="B192"/>
      <c r="C192"/>
      <c r="D192"/>
      <c r="E192"/>
      <c r="G192"/>
      <c r="H192"/>
      <c r="J192"/>
      <c r="K192" s="54"/>
      <c r="M192" s="3"/>
      <c r="N192" s="3"/>
      <c r="O192" s="3"/>
      <c r="P192"/>
      <c r="Q192"/>
    </row>
    <row r="193" spans="2:17" x14ac:dyDescent="0.2">
      <c r="B193"/>
      <c r="C193"/>
      <c r="D193"/>
      <c r="E193"/>
      <c r="G193"/>
      <c r="H193"/>
      <c r="J193"/>
      <c r="K193" s="54"/>
      <c r="M193" s="3"/>
      <c r="N193" s="3"/>
      <c r="O193" s="3"/>
      <c r="P193"/>
      <c r="Q193"/>
    </row>
    <row r="194" spans="2:17" x14ac:dyDescent="0.2">
      <c r="B194"/>
      <c r="C194"/>
      <c r="D194"/>
      <c r="E194"/>
      <c r="G194"/>
      <c r="H194"/>
      <c r="J194"/>
      <c r="K194" s="54"/>
      <c r="M194" s="3"/>
      <c r="N194" s="3"/>
      <c r="O194" s="3"/>
      <c r="P194"/>
      <c r="Q194"/>
    </row>
    <row r="195" spans="2:17" x14ac:dyDescent="0.2">
      <c r="B195"/>
      <c r="C195"/>
      <c r="D195"/>
      <c r="E195"/>
      <c r="G195"/>
      <c r="H195"/>
      <c r="J195"/>
      <c r="K195" s="54"/>
      <c r="M195" s="3"/>
      <c r="N195" s="3"/>
      <c r="O195" s="3"/>
      <c r="P195"/>
      <c r="Q195"/>
    </row>
    <row r="196" spans="2:17" x14ac:dyDescent="0.2">
      <c r="B196"/>
      <c r="C196"/>
      <c r="D196"/>
      <c r="E196"/>
      <c r="G196"/>
      <c r="H196"/>
      <c r="J196"/>
      <c r="K196" s="54"/>
      <c r="M196" s="3"/>
      <c r="N196" s="3"/>
      <c r="O196" s="3"/>
      <c r="P196"/>
      <c r="Q196"/>
    </row>
    <row r="197" spans="2:17" x14ac:dyDescent="0.2">
      <c r="B197"/>
      <c r="C197"/>
      <c r="D197"/>
      <c r="E197"/>
      <c r="G197"/>
      <c r="H197"/>
      <c r="J197"/>
      <c r="K197" s="54"/>
      <c r="M197" s="3"/>
      <c r="N197" s="3"/>
      <c r="O197" s="3"/>
      <c r="P197"/>
      <c r="Q197"/>
    </row>
    <row r="198" spans="2:17" x14ac:dyDescent="0.2">
      <c r="B198"/>
      <c r="C198"/>
      <c r="D198"/>
      <c r="E198"/>
      <c r="G198"/>
      <c r="H198"/>
      <c r="J198"/>
      <c r="K198" s="54"/>
      <c r="M198" s="3"/>
      <c r="N198" s="3"/>
      <c r="O198" s="3"/>
      <c r="P198"/>
      <c r="Q198"/>
    </row>
    <row r="199" spans="2:17" x14ac:dyDescent="0.2">
      <c r="B199"/>
      <c r="C199"/>
      <c r="D199"/>
      <c r="E199"/>
      <c r="G199"/>
      <c r="H199"/>
      <c r="J199"/>
      <c r="K199" s="54"/>
      <c r="M199" s="3"/>
      <c r="N199" s="3"/>
      <c r="O199" s="3"/>
      <c r="P199"/>
      <c r="Q199"/>
    </row>
    <row r="200" spans="2:17" x14ac:dyDescent="0.2">
      <c r="B200"/>
      <c r="C200"/>
      <c r="D200"/>
      <c r="E200"/>
      <c r="G200"/>
      <c r="H200"/>
      <c r="J200"/>
      <c r="K200" s="54"/>
      <c r="M200" s="3"/>
      <c r="N200" s="3"/>
      <c r="O200" s="3"/>
      <c r="P200"/>
      <c r="Q200"/>
    </row>
    <row r="201" spans="2:17" x14ac:dyDescent="0.2">
      <c r="B201"/>
      <c r="C201"/>
      <c r="D201"/>
      <c r="E201"/>
      <c r="G201"/>
      <c r="H201"/>
      <c r="J201"/>
      <c r="K201" s="54"/>
      <c r="M201" s="3"/>
      <c r="N201" s="3"/>
      <c r="O201" s="3"/>
      <c r="P201"/>
      <c r="Q201"/>
    </row>
    <row r="202" spans="2:17" x14ac:dyDescent="0.2">
      <c r="B202"/>
      <c r="C202"/>
      <c r="D202"/>
      <c r="E202"/>
      <c r="G202"/>
      <c r="H202"/>
      <c r="J202"/>
      <c r="K202" s="54"/>
      <c r="M202" s="3"/>
      <c r="N202" s="3"/>
      <c r="O202" s="3"/>
      <c r="P202"/>
      <c r="Q202"/>
    </row>
    <row r="203" spans="2:17" x14ac:dyDescent="0.2">
      <c r="B203"/>
      <c r="C203"/>
      <c r="D203"/>
      <c r="E203"/>
      <c r="G203"/>
      <c r="H203"/>
      <c r="J203"/>
      <c r="K203" s="54"/>
      <c r="M203" s="3"/>
      <c r="N203" s="3"/>
      <c r="O203" s="3"/>
      <c r="P203"/>
      <c r="Q203"/>
    </row>
    <row r="204" spans="2:17" x14ac:dyDescent="0.2">
      <c r="B204"/>
      <c r="C204"/>
      <c r="D204"/>
      <c r="E204"/>
      <c r="G204"/>
      <c r="H204"/>
      <c r="J204"/>
      <c r="K204" s="54"/>
      <c r="M204" s="3"/>
      <c r="N204" s="3"/>
      <c r="O204" s="3"/>
      <c r="P204"/>
      <c r="Q204"/>
    </row>
    <row r="205" spans="2:17" x14ac:dyDescent="0.2">
      <c r="B205"/>
      <c r="C205"/>
      <c r="D205"/>
      <c r="E205"/>
      <c r="G205"/>
      <c r="H205"/>
      <c r="J205"/>
      <c r="K205" s="54"/>
      <c r="M205" s="3"/>
      <c r="N205" s="3"/>
      <c r="O205" s="3"/>
      <c r="P205"/>
      <c r="Q205"/>
    </row>
    <row r="206" spans="2:17" x14ac:dyDescent="0.2">
      <c r="B206"/>
      <c r="C206"/>
      <c r="D206"/>
      <c r="E206"/>
      <c r="G206"/>
      <c r="H206"/>
      <c r="J206"/>
      <c r="K206" s="54"/>
      <c r="M206" s="3"/>
      <c r="N206" s="3"/>
      <c r="O206" s="3"/>
      <c r="P206"/>
      <c r="Q206"/>
    </row>
    <row r="207" spans="2:17" x14ac:dyDescent="0.2">
      <c r="B207"/>
      <c r="C207"/>
      <c r="D207"/>
      <c r="E207"/>
      <c r="G207"/>
      <c r="H207"/>
      <c r="J207"/>
      <c r="K207" s="54"/>
      <c r="M207" s="3"/>
      <c r="N207" s="3"/>
      <c r="O207" s="3"/>
      <c r="P207"/>
      <c r="Q207"/>
    </row>
    <row r="208" spans="2:17" x14ac:dyDescent="0.2">
      <c r="B208"/>
      <c r="C208"/>
      <c r="D208"/>
      <c r="E208"/>
      <c r="G208"/>
      <c r="H208"/>
      <c r="J208"/>
      <c r="K208" s="54"/>
      <c r="M208" s="3"/>
      <c r="N208" s="3"/>
      <c r="O208" s="3"/>
      <c r="P208"/>
      <c r="Q208"/>
    </row>
    <row r="209" spans="2:17" x14ac:dyDescent="0.2">
      <c r="B209"/>
      <c r="C209"/>
      <c r="D209"/>
      <c r="E209"/>
      <c r="G209"/>
      <c r="H209"/>
      <c r="J209"/>
      <c r="K209" s="54"/>
      <c r="M209" s="3"/>
      <c r="N209" s="3"/>
      <c r="O209" s="3"/>
      <c r="P209"/>
      <c r="Q209"/>
    </row>
    <row r="210" spans="2:17" x14ac:dyDescent="0.2">
      <c r="B210"/>
      <c r="C210"/>
      <c r="D210"/>
      <c r="E210"/>
      <c r="G210"/>
      <c r="H210"/>
      <c r="J210"/>
      <c r="K210" s="54"/>
      <c r="M210" s="3"/>
      <c r="N210" s="3"/>
      <c r="O210" s="3"/>
      <c r="P210"/>
      <c r="Q210"/>
    </row>
    <row r="211" spans="2:17" x14ac:dyDescent="0.2">
      <c r="B211"/>
      <c r="C211"/>
      <c r="D211"/>
      <c r="E211"/>
      <c r="G211"/>
      <c r="H211"/>
      <c r="J211"/>
      <c r="K211" s="54"/>
      <c r="M211" s="3"/>
      <c r="N211" s="3"/>
      <c r="O211" s="3"/>
      <c r="P211"/>
      <c r="Q211"/>
    </row>
    <row r="212" spans="2:17" x14ac:dyDescent="0.2">
      <c r="B212"/>
      <c r="C212"/>
      <c r="D212"/>
      <c r="E212"/>
      <c r="G212"/>
      <c r="H212"/>
      <c r="J212"/>
      <c r="K212" s="54"/>
      <c r="M212" s="3"/>
      <c r="N212" s="3"/>
      <c r="O212" s="3"/>
      <c r="P212"/>
      <c r="Q212"/>
    </row>
    <row r="213" spans="2:17" x14ac:dyDescent="0.2">
      <c r="B213"/>
      <c r="C213"/>
      <c r="D213"/>
      <c r="E213"/>
      <c r="G213"/>
      <c r="H213"/>
      <c r="J213"/>
      <c r="K213" s="54"/>
      <c r="M213" s="3"/>
      <c r="N213" s="3"/>
      <c r="O213" s="3"/>
      <c r="P213"/>
      <c r="Q213"/>
    </row>
    <row r="214" spans="2:17" x14ac:dyDescent="0.2">
      <c r="B214"/>
      <c r="C214"/>
      <c r="D214"/>
      <c r="E214"/>
      <c r="G214"/>
      <c r="H214"/>
      <c r="J214"/>
      <c r="K214" s="54"/>
      <c r="M214" s="3"/>
      <c r="N214" s="3"/>
      <c r="O214" s="3"/>
      <c r="P214"/>
      <c r="Q214"/>
    </row>
    <row r="215" spans="2:17" x14ac:dyDescent="0.2">
      <c r="B215"/>
      <c r="C215"/>
      <c r="D215"/>
      <c r="E215"/>
      <c r="G215"/>
      <c r="H215"/>
      <c r="J215"/>
      <c r="K215" s="54"/>
      <c r="M215" s="3"/>
      <c r="N215" s="3"/>
      <c r="O215" s="3"/>
      <c r="P215"/>
      <c r="Q215"/>
    </row>
    <row r="216" spans="2:17" x14ac:dyDescent="0.2">
      <c r="B216"/>
      <c r="C216"/>
      <c r="D216"/>
      <c r="E216"/>
      <c r="G216"/>
      <c r="H216"/>
      <c r="J216"/>
      <c r="K216" s="54"/>
      <c r="M216" s="3"/>
      <c r="N216" s="3"/>
      <c r="O216" s="3"/>
      <c r="P216"/>
      <c r="Q216"/>
    </row>
    <row r="217" spans="2:17" x14ac:dyDescent="0.2">
      <c r="B217"/>
      <c r="C217"/>
      <c r="D217"/>
      <c r="E217"/>
      <c r="G217"/>
      <c r="H217"/>
      <c r="J217"/>
      <c r="K217" s="54"/>
      <c r="M217" s="3"/>
      <c r="N217" s="3"/>
      <c r="O217" s="3"/>
      <c r="P217"/>
      <c r="Q217"/>
    </row>
    <row r="218" spans="2:17" x14ac:dyDescent="0.2">
      <c r="B218"/>
      <c r="C218"/>
      <c r="D218"/>
      <c r="E218"/>
      <c r="G218"/>
      <c r="H218"/>
      <c r="J218"/>
      <c r="K218" s="54"/>
      <c r="M218" s="3"/>
      <c r="N218" s="3"/>
      <c r="O218" s="3"/>
      <c r="P218"/>
      <c r="Q218"/>
    </row>
    <row r="219" spans="2:17" x14ac:dyDescent="0.2">
      <c r="B219"/>
      <c r="C219"/>
      <c r="D219"/>
      <c r="E219"/>
      <c r="G219"/>
      <c r="H219"/>
      <c r="J219"/>
      <c r="K219" s="54"/>
      <c r="M219" s="3"/>
      <c r="N219" s="3"/>
      <c r="O219" s="3"/>
      <c r="P219"/>
      <c r="Q219"/>
    </row>
    <row r="220" spans="2:17" x14ac:dyDescent="0.2">
      <c r="B220"/>
      <c r="C220"/>
      <c r="D220"/>
      <c r="E220"/>
      <c r="G220"/>
      <c r="H220"/>
      <c r="J220"/>
      <c r="K220" s="54"/>
      <c r="M220" s="3"/>
      <c r="N220" s="3"/>
      <c r="O220" s="3"/>
      <c r="P220"/>
      <c r="Q220"/>
    </row>
    <row r="221" spans="2:17" x14ac:dyDescent="0.2">
      <c r="B221"/>
      <c r="C221"/>
      <c r="D221"/>
      <c r="E221"/>
      <c r="G221"/>
      <c r="H221"/>
      <c r="J221"/>
      <c r="K221" s="54"/>
      <c r="M221" s="3"/>
      <c r="N221" s="3"/>
      <c r="O221" s="3"/>
      <c r="P221"/>
      <c r="Q221"/>
    </row>
    <row r="222" spans="2:17" x14ac:dyDescent="0.2">
      <c r="B222"/>
      <c r="C222"/>
      <c r="D222"/>
      <c r="E222"/>
      <c r="G222"/>
      <c r="H222"/>
      <c r="J222"/>
      <c r="K222" s="54"/>
      <c r="M222" s="3"/>
      <c r="N222" s="3"/>
      <c r="O222" s="3"/>
      <c r="P222"/>
      <c r="Q222"/>
    </row>
    <row r="223" spans="2:17" x14ac:dyDescent="0.2">
      <c r="B223"/>
      <c r="C223"/>
      <c r="D223"/>
      <c r="E223"/>
      <c r="G223"/>
      <c r="H223"/>
      <c r="J223"/>
      <c r="K223" s="54"/>
      <c r="M223" s="3"/>
      <c r="N223" s="3"/>
      <c r="O223" s="3"/>
      <c r="P223"/>
      <c r="Q223"/>
    </row>
    <row r="224" spans="2:17" x14ac:dyDescent="0.2">
      <c r="B224"/>
      <c r="C224"/>
      <c r="D224"/>
      <c r="E224"/>
      <c r="G224"/>
      <c r="H224"/>
      <c r="J224"/>
      <c r="K224" s="54"/>
      <c r="M224" s="3"/>
      <c r="N224" s="3"/>
      <c r="O224" s="3"/>
      <c r="P224"/>
      <c r="Q224"/>
    </row>
    <row r="225" spans="2:17" x14ac:dyDescent="0.2">
      <c r="B225"/>
      <c r="C225"/>
      <c r="D225"/>
      <c r="E225"/>
      <c r="G225"/>
      <c r="H225"/>
      <c r="J225"/>
      <c r="K225" s="54"/>
      <c r="M225" s="3"/>
      <c r="N225" s="3"/>
      <c r="O225" s="3"/>
      <c r="P225"/>
      <c r="Q225"/>
    </row>
    <row r="226" spans="2:17" x14ac:dyDescent="0.2">
      <c r="B226"/>
      <c r="C226"/>
      <c r="D226"/>
      <c r="E226"/>
      <c r="G226"/>
      <c r="H226"/>
      <c r="J226"/>
      <c r="K226" s="54"/>
      <c r="M226" s="3"/>
      <c r="N226" s="3"/>
      <c r="O226" s="3"/>
      <c r="P226"/>
      <c r="Q226"/>
    </row>
    <row r="227" spans="2:17" x14ac:dyDescent="0.2">
      <c r="B227"/>
      <c r="C227"/>
      <c r="D227"/>
      <c r="E227"/>
      <c r="G227"/>
      <c r="H227"/>
      <c r="J227"/>
      <c r="K227" s="54"/>
      <c r="M227" s="3"/>
      <c r="N227" s="3"/>
      <c r="O227" s="3"/>
      <c r="P227"/>
      <c r="Q227"/>
    </row>
    <row r="228" spans="2:17" x14ac:dyDescent="0.2">
      <c r="B228"/>
      <c r="C228"/>
      <c r="D228"/>
      <c r="E228"/>
      <c r="G228"/>
      <c r="H228"/>
      <c r="J228"/>
      <c r="K228" s="54"/>
      <c r="M228" s="3"/>
      <c r="N228" s="3"/>
      <c r="O228" s="3"/>
      <c r="P228"/>
      <c r="Q228"/>
    </row>
    <row r="229" spans="2:17" x14ac:dyDescent="0.2">
      <c r="B229"/>
      <c r="C229"/>
      <c r="D229"/>
      <c r="E229"/>
      <c r="G229"/>
      <c r="H229"/>
      <c r="J229"/>
      <c r="K229" s="54"/>
      <c r="M229" s="3"/>
      <c r="N229" s="3"/>
      <c r="O229" s="3"/>
      <c r="P229"/>
      <c r="Q229"/>
    </row>
    <row r="230" spans="2:17" x14ac:dyDescent="0.2">
      <c r="B230"/>
      <c r="C230"/>
      <c r="D230"/>
      <c r="E230"/>
      <c r="G230"/>
      <c r="H230"/>
      <c r="J230"/>
      <c r="K230" s="54"/>
      <c r="M230" s="3"/>
      <c r="N230" s="3"/>
      <c r="O230" s="3"/>
      <c r="P230"/>
      <c r="Q230"/>
    </row>
    <row r="231" spans="2:17" x14ac:dyDescent="0.2">
      <c r="B231"/>
      <c r="C231"/>
      <c r="D231"/>
      <c r="E231"/>
      <c r="G231"/>
      <c r="H231"/>
      <c r="J231"/>
      <c r="K231" s="54"/>
      <c r="M231" s="3"/>
      <c r="N231" s="3"/>
      <c r="O231" s="3"/>
      <c r="P231"/>
      <c r="Q231"/>
    </row>
    <row r="232" spans="2:17" x14ac:dyDescent="0.2">
      <c r="B232"/>
      <c r="C232"/>
      <c r="D232"/>
      <c r="E232"/>
      <c r="G232"/>
      <c r="H232"/>
      <c r="J232"/>
      <c r="K232" s="54"/>
      <c r="M232" s="3"/>
      <c r="N232" s="3"/>
      <c r="O232" s="3"/>
      <c r="P232"/>
      <c r="Q232"/>
    </row>
    <row r="233" spans="2:17" x14ac:dyDescent="0.2">
      <c r="B233"/>
      <c r="C233"/>
      <c r="D233"/>
      <c r="E233"/>
      <c r="G233"/>
      <c r="H233"/>
      <c r="J233"/>
      <c r="K233" s="54"/>
      <c r="M233" s="3"/>
      <c r="N233" s="3"/>
      <c r="O233" s="3"/>
      <c r="P233"/>
      <c r="Q233"/>
    </row>
    <row r="234" spans="2:17" x14ac:dyDescent="0.2">
      <c r="B234"/>
      <c r="C234"/>
      <c r="D234"/>
      <c r="E234"/>
      <c r="G234"/>
      <c r="H234"/>
      <c r="J234"/>
      <c r="K234" s="54"/>
      <c r="M234" s="3"/>
      <c r="N234" s="3"/>
      <c r="O234" s="3"/>
      <c r="P234"/>
      <c r="Q234"/>
    </row>
    <row r="235" spans="2:17" x14ac:dyDescent="0.2">
      <c r="B235"/>
      <c r="C235"/>
      <c r="D235"/>
      <c r="E235"/>
      <c r="G235"/>
      <c r="H235"/>
      <c r="J235"/>
      <c r="K235" s="54"/>
      <c r="M235" s="3"/>
      <c r="N235" s="3"/>
      <c r="O235" s="3"/>
      <c r="P235"/>
      <c r="Q235"/>
    </row>
    <row r="236" spans="2:17" x14ac:dyDescent="0.2">
      <c r="B236"/>
      <c r="C236"/>
      <c r="D236"/>
      <c r="E236"/>
      <c r="G236"/>
      <c r="H236"/>
      <c r="J236"/>
      <c r="K236" s="54"/>
      <c r="M236" s="3"/>
      <c r="N236" s="3"/>
      <c r="O236" s="3"/>
      <c r="P236"/>
      <c r="Q236"/>
    </row>
    <row r="237" spans="2:17" x14ac:dyDescent="0.2">
      <c r="B237"/>
      <c r="C237"/>
      <c r="D237"/>
      <c r="E237"/>
      <c r="G237"/>
      <c r="H237"/>
      <c r="J237"/>
      <c r="K237" s="54"/>
      <c r="M237" s="3"/>
      <c r="N237" s="3"/>
      <c r="O237" s="3"/>
      <c r="P237"/>
      <c r="Q237"/>
    </row>
    <row r="238" spans="2:17" x14ac:dyDescent="0.2">
      <c r="B238"/>
      <c r="C238"/>
      <c r="D238"/>
      <c r="E238"/>
      <c r="G238"/>
      <c r="H238"/>
      <c r="J238"/>
      <c r="K238" s="54"/>
      <c r="M238" s="3"/>
      <c r="N238" s="3"/>
      <c r="O238" s="3"/>
      <c r="P238"/>
      <c r="Q238"/>
    </row>
    <row r="239" spans="2:17" x14ac:dyDescent="0.2">
      <c r="B239"/>
      <c r="C239"/>
      <c r="D239"/>
      <c r="E239"/>
      <c r="G239"/>
      <c r="H239"/>
      <c r="J239"/>
      <c r="K239" s="54"/>
      <c r="M239" s="3"/>
      <c r="N239" s="3"/>
      <c r="O239" s="3"/>
      <c r="P239"/>
      <c r="Q239"/>
    </row>
    <row r="240" spans="2:17" x14ac:dyDescent="0.2">
      <c r="B240"/>
      <c r="C240"/>
      <c r="D240"/>
      <c r="E240"/>
      <c r="G240"/>
      <c r="H240"/>
      <c r="J240"/>
      <c r="K240" s="54"/>
      <c r="M240" s="3"/>
      <c r="N240" s="3"/>
      <c r="O240" s="3"/>
      <c r="P240"/>
      <c r="Q240"/>
    </row>
    <row r="241" spans="2:17" x14ac:dyDescent="0.2">
      <c r="B241"/>
      <c r="C241"/>
      <c r="D241"/>
      <c r="E241"/>
      <c r="G241"/>
      <c r="H241"/>
      <c r="J241"/>
      <c r="K241" s="54"/>
      <c r="M241" s="3"/>
      <c r="N241" s="3"/>
      <c r="O241" s="3"/>
      <c r="P241"/>
      <c r="Q241"/>
    </row>
    <row r="242" spans="2:17" x14ac:dyDescent="0.2">
      <c r="B242"/>
      <c r="C242"/>
      <c r="D242"/>
      <c r="E242"/>
      <c r="G242"/>
      <c r="H242"/>
      <c r="J242"/>
      <c r="K242" s="54"/>
      <c r="M242" s="3"/>
      <c r="N242" s="3"/>
      <c r="O242" s="3"/>
      <c r="P242"/>
      <c r="Q242"/>
    </row>
    <row r="243" spans="2:17" x14ac:dyDescent="0.2">
      <c r="B243"/>
      <c r="C243"/>
      <c r="D243"/>
      <c r="E243"/>
      <c r="G243"/>
      <c r="H243"/>
      <c r="J243"/>
      <c r="K243" s="54"/>
      <c r="M243" s="3"/>
      <c r="N243" s="3"/>
      <c r="O243" s="3"/>
      <c r="P243"/>
      <c r="Q243"/>
    </row>
    <row r="244" spans="2:17" x14ac:dyDescent="0.2">
      <c r="B244"/>
      <c r="C244"/>
      <c r="D244"/>
      <c r="E244"/>
      <c r="G244"/>
      <c r="H244"/>
      <c r="J244"/>
      <c r="K244" s="54"/>
      <c r="M244" s="3"/>
      <c r="N244" s="3"/>
      <c r="O244" s="3"/>
      <c r="P244"/>
      <c r="Q244"/>
    </row>
    <row r="245" spans="2:17" x14ac:dyDescent="0.2">
      <c r="B245"/>
      <c r="C245"/>
      <c r="D245"/>
      <c r="E245"/>
      <c r="G245"/>
      <c r="H245"/>
      <c r="J245"/>
      <c r="K245" s="54"/>
      <c r="M245" s="3"/>
      <c r="N245" s="3"/>
      <c r="O245" s="3"/>
      <c r="P245"/>
      <c r="Q245"/>
    </row>
    <row r="246" spans="2:17" x14ac:dyDescent="0.2">
      <c r="B246"/>
      <c r="C246"/>
      <c r="D246"/>
      <c r="E246"/>
      <c r="G246"/>
      <c r="H246"/>
      <c r="J246"/>
      <c r="K246" s="54"/>
      <c r="M246" s="3"/>
      <c r="N246" s="3"/>
      <c r="O246" s="3"/>
      <c r="P246"/>
      <c r="Q246"/>
    </row>
    <row r="247" spans="2:17" x14ac:dyDescent="0.2">
      <c r="B247"/>
      <c r="C247"/>
      <c r="D247"/>
      <c r="E247"/>
      <c r="G247"/>
      <c r="H247"/>
      <c r="J247"/>
      <c r="K247" s="54"/>
      <c r="M247" s="3"/>
      <c r="N247" s="3"/>
      <c r="O247" s="3"/>
      <c r="P247"/>
      <c r="Q247"/>
    </row>
    <row r="248" spans="2:17" x14ac:dyDescent="0.2">
      <c r="B248"/>
      <c r="C248"/>
      <c r="D248"/>
      <c r="E248"/>
      <c r="G248"/>
      <c r="H248"/>
      <c r="J248"/>
      <c r="K248" s="54"/>
      <c r="M248" s="3"/>
      <c r="N248" s="3"/>
      <c r="O248" s="3"/>
      <c r="P248"/>
      <c r="Q248"/>
    </row>
    <row r="249" spans="2:17" x14ac:dyDescent="0.2">
      <c r="B249"/>
      <c r="C249"/>
      <c r="D249"/>
      <c r="E249"/>
      <c r="G249"/>
      <c r="H249"/>
      <c r="J249"/>
      <c r="K249" s="54"/>
      <c r="M249" s="3"/>
      <c r="N249" s="3"/>
      <c r="O249" s="3"/>
      <c r="P249"/>
      <c r="Q249"/>
    </row>
    <row r="250" spans="2:17" x14ac:dyDescent="0.2">
      <c r="B250"/>
      <c r="C250"/>
      <c r="D250"/>
      <c r="E250"/>
      <c r="G250"/>
      <c r="H250"/>
      <c r="J250"/>
      <c r="K250" s="54"/>
      <c r="M250" s="3"/>
      <c r="N250" s="3"/>
      <c r="O250" s="3"/>
      <c r="P250"/>
      <c r="Q250"/>
    </row>
    <row r="251" spans="2:17" x14ac:dyDescent="0.2">
      <c r="B251"/>
      <c r="C251"/>
      <c r="D251"/>
      <c r="E251"/>
      <c r="G251"/>
      <c r="H251"/>
      <c r="J251"/>
      <c r="K251" s="54"/>
      <c r="M251" s="3"/>
      <c r="N251" s="3"/>
      <c r="O251" s="3"/>
      <c r="P251"/>
      <c r="Q251"/>
    </row>
    <row r="252" spans="2:17" x14ac:dyDescent="0.2">
      <c r="B252"/>
      <c r="C252"/>
      <c r="D252"/>
      <c r="E252"/>
      <c r="G252"/>
      <c r="H252"/>
      <c r="J252"/>
      <c r="K252" s="54"/>
      <c r="M252" s="3"/>
      <c r="N252" s="3"/>
      <c r="O252" s="3"/>
      <c r="P252"/>
      <c r="Q252"/>
    </row>
    <row r="257" customFormat="1" x14ac:dyDescent="0.2"/>
    <row r="258" customFormat="1" x14ac:dyDescent="0.2"/>
  </sheetData>
  <mergeCells count="300">
    <mergeCell ref="M124:O124"/>
    <mergeCell ref="G130:M130"/>
    <mergeCell ref="B131:F131"/>
    <mergeCell ref="H131:I131"/>
    <mergeCell ref="J131:M131"/>
    <mergeCell ref="C125:E125"/>
    <mergeCell ref="K125:L125"/>
    <mergeCell ref="C126:E126"/>
    <mergeCell ref="K126:L126"/>
    <mergeCell ref="C127:E127"/>
    <mergeCell ref="K127:L127"/>
    <mergeCell ref="B128:F128"/>
    <mergeCell ref="G128:M128"/>
    <mergeCell ref="B129:F129"/>
    <mergeCell ref="H129:M129"/>
    <mergeCell ref="B130:F130"/>
    <mergeCell ref="K103:K104"/>
    <mergeCell ref="L103:L104"/>
    <mergeCell ref="M103:O104"/>
    <mergeCell ref="J105:J108"/>
    <mergeCell ref="B109:B110"/>
    <mergeCell ref="F109:H109"/>
    <mergeCell ref="J109:J112"/>
    <mergeCell ref="M109:O109"/>
    <mergeCell ref="F110:H110"/>
    <mergeCell ref="M110:O110"/>
    <mergeCell ref="B111:B112"/>
    <mergeCell ref="F111:H111"/>
    <mergeCell ref="M111:O111"/>
    <mergeCell ref="F112:H112"/>
    <mergeCell ref="M112:O112"/>
    <mergeCell ref="M105:O105"/>
    <mergeCell ref="F106:H106"/>
    <mergeCell ref="M106:O106"/>
    <mergeCell ref="F107:H107"/>
    <mergeCell ref="M107:O107"/>
    <mergeCell ref="F105:H105"/>
    <mergeCell ref="B105:B106"/>
    <mergeCell ref="B107:B108"/>
    <mergeCell ref="C1:O1"/>
    <mergeCell ref="B2:B3"/>
    <mergeCell ref="C2:C3"/>
    <mergeCell ref="E2:E3"/>
    <mergeCell ref="F2:H3"/>
    <mergeCell ref="J2:J3"/>
    <mergeCell ref="K2:K3"/>
    <mergeCell ref="L2:L3"/>
    <mergeCell ref="M2:O3"/>
    <mergeCell ref="B4:B19"/>
    <mergeCell ref="F4:H4"/>
    <mergeCell ref="J4:J19"/>
    <mergeCell ref="M4:O4"/>
    <mergeCell ref="F5:H5"/>
    <mergeCell ref="M5:O5"/>
    <mergeCell ref="F6:H6"/>
    <mergeCell ref="M6:O6"/>
    <mergeCell ref="F7:H7"/>
    <mergeCell ref="M7:O7"/>
    <mergeCell ref="F11:H11"/>
    <mergeCell ref="M11:O11"/>
    <mergeCell ref="F12:H12"/>
    <mergeCell ref="M12:O12"/>
    <mergeCell ref="F13:H13"/>
    <mergeCell ref="M13:O13"/>
    <mergeCell ref="F8:H8"/>
    <mergeCell ref="M8:O8"/>
    <mergeCell ref="F9:H9"/>
    <mergeCell ref="M9:O9"/>
    <mergeCell ref="F10:H10"/>
    <mergeCell ref="M10:O10"/>
    <mergeCell ref="F17:H17"/>
    <mergeCell ref="M17:O17"/>
    <mergeCell ref="F18:H18"/>
    <mergeCell ref="M18:O18"/>
    <mergeCell ref="F19:H19"/>
    <mergeCell ref="M19:O19"/>
    <mergeCell ref="F14:H14"/>
    <mergeCell ref="M14:O14"/>
    <mergeCell ref="F15:H15"/>
    <mergeCell ref="M15:O15"/>
    <mergeCell ref="F16:H16"/>
    <mergeCell ref="M16:O16"/>
    <mergeCell ref="B20:B35"/>
    <mergeCell ref="F20:H20"/>
    <mergeCell ref="J20:J35"/>
    <mergeCell ref="M20:O20"/>
    <mergeCell ref="F21:H21"/>
    <mergeCell ref="M21:O21"/>
    <mergeCell ref="F22:H22"/>
    <mergeCell ref="M22:O22"/>
    <mergeCell ref="F23:H23"/>
    <mergeCell ref="M23:O23"/>
    <mergeCell ref="F27:H27"/>
    <mergeCell ref="M27:O27"/>
    <mergeCell ref="F28:H28"/>
    <mergeCell ref="M28:O28"/>
    <mergeCell ref="F29:H29"/>
    <mergeCell ref="M29:O29"/>
    <mergeCell ref="F24:H24"/>
    <mergeCell ref="M24:O24"/>
    <mergeCell ref="F25:H25"/>
    <mergeCell ref="M25:O25"/>
    <mergeCell ref="F26:H26"/>
    <mergeCell ref="M26:O26"/>
    <mergeCell ref="F33:H33"/>
    <mergeCell ref="M33:O33"/>
    <mergeCell ref="F34:H34"/>
    <mergeCell ref="M34:O34"/>
    <mergeCell ref="F35:H35"/>
    <mergeCell ref="M35:O35"/>
    <mergeCell ref="F30:H30"/>
    <mergeCell ref="M30:O30"/>
    <mergeCell ref="F31:H31"/>
    <mergeCell ref="M31:O31"/>
    <mergeCell ref="F32:H32"/>
    <mergeCell ref="M32:O32"/>
    <mergeCell ref="B36:B51"/>
    <mergeCell ref="F36:H36"/>
    <mergeCell ref="J36:J51"/>
    <mergeCell ref="M36:O36"/>
    <mergeCell ref="F37:H37"/>
    <mergeCell ref="M37:O37"/>
    <mergeCell ref="F38:H38"/>
    <mergeCell ref="M38:O38"/>
    <mergeCell ref="F39:H39"/>
    <mergeCell ref="M39:O39"/>
    <mergeCell ref="F43:H43"/>
    <mergeCell ref="M43:O43"/>
    <mergeCell ref="F44:H44"/>
    <mergeCell ref="M44:O44"/>
    <mergeCell ref="F45:H45"/>
    <mergeCell ref="M45:O45"/>
    <mergeCell ref="F40:H40"/>
    <mergeCell ref="M40:O40"/>
    <mergeCell ref="F41:H41"/>
    <mergeCell ref="M41:O41"/>
    <mergeCell ref="F42:H42"/>
    <mergeCell ref="M42:O42"/>
    <mergeCell ref="F49:H49"/>
    <mergeCell ref="M49:O49"/>
    <mergeCell ref="F50:H50"/>
    <mergeCell ref="M50:O50"/>
    <mergeCell ref="F51:H51"/>
    <mergeCell ref="M51:O51"/>
    <mergeCell ref="F46:H46"/>
    <mergeCell ref="M46:O46"/>
    <mergeCell ref="F47:H47"/>
    <mergeCell ref="M47:O47"/>
    <mergeCell ref="F48:H48"/>
    <mergeCell ref="M48:O48"/>
    <mergeCell ref="B52:B67"/>
    <mergeCell ref="F52:H52"/>
    <mergeCell ref="J52:J67"/>
    <mergeCell ref="M52:O52"/>
    <mergeCell ref="F53:H53"/>
    <mergeCell ref="M53:O53"/>
    <mergeCell ref="F54:H54"/>
    <mergeCell ref="M54:O54"/>
    <mergeCell ref="F55:H55"/>
    <mergeCell ref="M55:O55"/>
    <mergeCell ref="F59:H59"/>
    <mergeCell ref="M59:O59"/>
    <mergeCell ref="F60:H60"/>
    <mergeCell ref="M60:O60"/>
    <mergeCell ref="F61:H61"/>
    <mergeCell ref="M61:O61"/>
    <mergeCell ref="F56:H56"/>
    <mergeCell ref="M56:O56"/>
    <mergeCell ref="F57:H57"/>
    <mergeCell ref="M57:O57"/>
    <mergeCell ref="F58:H58"/>
    <mergeCell ref="M58:O58"/>
    <mergeCell ref="F65:H65"/>
    <mergeCell ref="M65:O65"/>
    <mergeCell ref="F66:H66"/>
    <mergeCell ref="M66:O66"/>
    <mergeCell ref="F67:H67"/>
    <mergeCell ref="M67:O67"/>
    <mergeCell ref="F62:H62"/>
    <mergeCell ref="M62:O62"/>
    <mergeCell ref="F63:H63"/>
    <mergeCell ref="M63:O63"/>
    <mergeCell ref="F64:H64"/>
    <mergeCell ref="M64:O64"/>
    <mergeCell ref="F72:H72"/>
    <mergeCell ref="M72:O72"/>
    <mergeCell ref="F73:H73"/>
    <mergeCell ref="M73:O73"/>
    <mergeCell ref="F74:H74"/>
    <mergeCell ref="M74:O74"/>
    <mergeCell ref="B68:B83"/>
    <mergeCell ref="F68:H68"/>
    <mergeCell ref="J68:J83"/>
    <mergeCell ref="M68:O68"/>
    <mergeCell ref="F69:H69"/>
    <mergeCell ref="M69:O69"/>
    <mergeCell ref="F70:H70"/>
    <mergeCell ref="M70:O70"/>
    <mergeCell ref="F71:H71"/>
    <mergeCell ref="M71:O71"/>
    <mergeCell ref="F78:H78"/>
    <mergeCell ref="M78:O78"/>
    <mergeCell ref="F79:H79"/>
    <mergeCell ref="M79:O79"/>
    <mergeCell ref="F80:H80"/>
    <mergeCell ref="M80:O80"/>
    <mergeCell ref="F75:H75"/>
    <mergeCell ref="M75:O75"/>
    <mergeCell ref="F76:H76"/>
    <mergeCell ref="M76:O76"/>
    <mergeCell ref="F77:H77"/>
    <mergeCell ref="M77:O77"/>
    <mergeCell ref="F84:H84"/>
    <mergeCell ref="J84:J99"/>
    <mergeCell ref="M84:O84"/>
    <mergeCell ref="F85:H85"/>
    <mergeCell ref="M85:O85"/>
    <mergeCell ref="F86:H86"/>
    <mergeCell ref="M86:O86"/>
    <mergeCell ref="F87:H87"/>
    <mergeCell ref="M87:O87"/>
    <mergeCell ref="F88:H88"/>
    <mergeCell ref="M88:O88"/>
    <mergeCell ref="F89:H89"/>
    <mergeCell ref="M89:O89"/>
    <mergeCell ref="F90:H90"/>
    <mergeCell ref="M90:O90"/>
    <mergeCell ref="F81:H81"/>
    <mergeCell ref="M81:O81"/>
    <mergeCell ref="F82:H82"/>
    <mergeCell ref="M82:O82"/>
    <mergeCell ref="F83:H83"/>
    <mergeCell ref="M83:O83"/>
    <mergeCell ref="F91:H91"/>
    <mergeCell ref="M91:O91"/>
    <mergeCell ref="F92:H92"/>
    <mergeCell ref="M92:O92"/>
    <mergeCell ref="F93:H93"/>
    <mergeCell ref="M93:O93"/>
    <mergeCell ref="F94:H94"/>
    <mergeCell ref="M94:O94"/>
    <mergeCell ref="F95:H95"/>
    <mergeCell ref="M95:O95"/>
    <mergeCell ref="B84:B99"/>
    <mergeCell ref="F96:H96"/>
    <mergeCell ref="M96:O96"/>
    <mergeCell ref="F97:H97"/>
    <mergeCell ref="M97:O97"/>
    <mergeCell ref="F98:H98"/>
    <mergeCell ref="M98:O98"/>
    <mergeCell ref="F99:H99"/>
    <mergeCell ref="M99:O99"/>
    <mergeCell ref="C100:E100"/>
    <mergeCell ref="K100:L100"/>
    <mergeCell ref="F108:H108"/>
    <mergeCell ref="M108:O108"/>
    <mergeCell ref="B113:B114"/>
    <mergeCell ref="F113:H113"/>
    <mergeCell ref="J113:J116"/>
    <mergeCell ref="M113:O113"/>
    <mergeCell ref="F114:H114"/>
    <mergeCell ref="M114:O114"/>
    <mergeCell ref="B115:B116"/>
    <mergeCell ref="F115:H115"/>
    <mergeCell ref="M115:O115"/>
    <mergeCell ref="F116:H116"/>
    <mergeCell ref="M116:O116"/>
    <mergeCell ref="C101:E101"/>
    <mergeCell ref="K101:L101"/>
    <mergeCell ref="C102:E102"/>
    <mergeCell ref="K102:L102"/>
    <mergeCell ref="B103:B104"/>
    <mergeCell ref="C103:C104"/>
    <mergeCell ref="E103:E104"/>
    <mergeCell ref="F103:H104"/>
    <mergeCell ref="J103:J104"/>
    <mergeCell ref="B133:O133"/>
    <mergeCell ref="B134:O134"/>
    <mergeCell ref="B135:O135"/>
    <mergeCell ref="B117:B118"/>
    <mergeCell ref="F117:H117"/>
    <mergeCell ref="J117:J120"/>
    <mergeCell ref="M117:O117"/>
    <mergeCell ref="F118:H118"/>
    <mergeCell ref="M118:O118"/>
    <mergeCell ref="B119:B120"/>
    <mergeCell ref="F119:H119"/>
    <mergeCell ref="M119:O119"/>
    <mergeCell ref="F120:H120"/>
    <mergeCell ref="M120:O120"/>
    <mergeCell ref="B121:B122"/>
    <mergeCell ref="F121:H121"/>
    <mergeCell ref="J121:J124"/>
    <mergeCell ref="M121:O121"/>
    <mergeCell ref="F122:H122"/>
    <mergeCell ref="M122:O122"/>
    <mergeCell ref="B123:B124"/>
    <mergeCell ref="F123:H123"/>
    <mergeCell ref="M123:O123"/>
    <mergeCell ref="F124:H124"/>
  </mergeCells>
  <dataValidations count="3">
    <dataValidation type="list" allowBlank="1" showInputMessage="1" showErrorMessage="1" sqref="O130" xr:uid="{00000000-0002-0000-0100-000000000000}">
      <formula1>Autor</formula1>
    </dataValidation>
    <dataValidation type="list" allowBlank="1" showInputMessage="1" showErrorMessage="1" sqref="F11:H11" xr:uid="{B56ED495-5F86-4DA2-86CF-30AF817870A4}">
      <formula1>Caixa_NOK</formula1>
    </dataValidation>
    <dataValidation type="list" allowBlank="1" showInputMessage="1" showErrorMessage="1" sqref="F19:H19" xr:uid="{CCC77013-721B-4B7C-951D-592598EBED50}">
      <formula1>Gaveta_Porta</formula1>
    </dataValidation>
  </dataValidations>
  <pageMargins left="0.31496062992125984" right="0.31496062992125984" top="0" bottom="0" header="0" footer="0"/>
  <pageSetup paperSize="9" scale="6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D24"/>
  <sheetViews>
    <sheetView workbookViewId="0">
      <selection activeCell="E8" sqref="E8"/>
    </sheetView>
  </sheetViews>
  <sheetFormatPr defaultRowHeight="12.75" x14ac:dyDescent="0.2"/>
  <cols>
    <col min="2" max="2" width="70.5703125" customWidth="1"/>
    <col min="3" max="4" width="8.85546875" customWidth="1"/>
  </cols>
  <sheetData>
    <row r="2" spans="2:4" x14ac:dyDescent="0.2">
      <c r="C2" t="s">
        <v>837</v>
      </c>
      <c r="D2" t="s">
        <v>836</v>
      </c>
    </row>
    <row r="3" spans="2:4" x14ac:dyDescent="0.2">
      <c r="C3" t="s">
        <v>834</v>
      </c>
      <c r="D3" t="s">
        <v>834</v>
      </c>
    </row>
    <row r="4" spans="2:4" x14ac:dyDescent="0.2">
      <c r="D4" t="s">
        <v>835</v>
      </c>
    </row>
    <row r="5" spans="2:4" x14ac:dyDescent="0.2">
      <c r="C5" t="s">
        <v>822</v>
      </c>
      <c r="D5" t="s">
        <v>833</v>
      </c>
    </row>
    <row r="6" spans="2:4" x14ac:dyDescent="0.2">
      <c r="C6" t="s">
        <v>819</v>
      </c>
      <c r="D6" t="s">
        <v>818</v>
      </c>
    </row>
    <row r="7" spans="2:4" x14ac:dyDescent="0.2">
      <c r="B7" t="s">
        <v>801</v>
      </c>
      <c r="C7" t="s">
        <v>825</v>
      </c>
      <c r="D7" t="s">
        <v>825</v>
      </c>
    </row>
    <row r="8" spans="2:4" x14ac:dyDescent="0.2">
      <c r="B8" t="s">
        <v>820</v>
      </c>
      <c r="C8" t="s">
        <v>825</v>
      </c>
      <c r="D8" t="s">
        <v>825</v>
      </c>
    </row>
    <row r="9" spans="2:4" x14ac:dyDescent="0.2">
      <c r="B9" t="s">
        <v>821</v>
      </c>
      <c r="C9" t="s">
        <v>825</v>
      </c>
      <c r="D9" t="s">
        <v>825</v>
      </c>
    </row>
    <row r="10" spans="2:4" x14ac:dyDescent="0.2">
      <c r="B10" s="258" t="s">
        <v>857</v>
      </c>
      <c r="D10" t="s">
        <v>825</v>
      </c>
    </row>
    <row r="11" spans="2:4" x14ac:dyDescent="0.2">
      <c r="B11" t="s">
        <v>822</v>
      </c>
      <c r="C11" t="s">
        <v>825</v>
      </c>
    </row>
    <row r="12" spans="2:4" x14ac:dyDescent="0.2">
      <c r="B12" t="s">
        <v>823</v>
      </c>
      <c r="C12" s="258" t="s">
        <v>825</v>
      </c>
      <c r="D12" t="s">
        <v>825</v>
      </c>
    </row>
    <row r="13" spans="2:4" x14ac:dyDescent="0.2">
      <c r="B13" t="s">
        <v>824</v>
      </c>
      <c r="C13" t="s">
        <v>825</v>
      </c>
    </row>
    <row r="14" spans="2:4" x14ac:dyDescent="0.2">
      <c r="B14" t="s">
        <v>826</v>
      </c>
      <c r="D14" t="s">
        <v>825</v>
      </c>
    </row>
    <row r="15" spans="2:4" x14ac:dyDescent="0.2">
      <c r="B15" t="s">
        <v>827</v>
      </c>
      <c r="C15" t="s">
        <v>825</v>
      </c>
      <c r="D15" t="s">
        <v>825</v>
      </c>
    </row>
    <row r="16" spans="2:4" x14ac:dyDescent="0.2">
      <c r="B16" t="s">
        <v>828</v>
      </c>
      <c r="C16" t="s">
        <v>825</v>
      </c>
      <c r="D16" t="s">
        <v>825</v>
      </c>
    </row>
    <row r="17" spans="2:4" x14ac:dyDescent="0.2">
      <c r="B17" t="s">
        <v>829</v>
      </c>
      <c r="C17" t="s">
        <v>825</v>
      </c>
      <c r="D17" t="s">
        <v>825</v>
      </c>
    </row>
    <row r="18" spans="2:4" x14ac:dyDescent="0.2">
      <c r="B18" s="258" t="s">
        <v>830</v>
      </c>
    </row>
    <row r="19" spans="2:4" x14ac:dyDescent="0.2">
      <c r="B19" t="s">
        <v>832</v>
      </c>
      <c r="D19" t="s">
        <v>825</v>
      </c>
    </row>
    <row r="24" spans="2:4" x14ac:dyDescent="0.2">
      <c r="B24" s="25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3"/>
  <dimension ref="A2:I47"/>
  <sheetViews>
    <sheetView zoomScaleNormal="100" workbookViewId="0">
      <selection activeCell="K29" sqref="K29"/>
    </sheetView>
  </sheetViews>
  <sheetFormatPr defaultRowHeight="12.75" x14ac:dyDescent="0.2"/>
  <cols>
    <col min="1" max="1" width="12.42578125" customWidth="1"/>
    <col min="2" max="2" width="10.85546875" customWidth="1"/>
    <col min="3" max="3" width="4.42578125" customWidth="1"/>
    <col min="4" max="4" width="11.85546875" customWidth="1"/>
    <col min="5" max="5" width="10.85546875" style="103" customWidth="1"/>
    <col min="6" max="6" width="4.42578125" customWidth="1"/>
    <col min="7" max="7" width="12.28515625" customWidth="1"/>
    <col min="8" max="8" width="10.85546875" customWidth="1"/>
  </cols>
  <sheetData>
    <row r="2" spans="5:9" x14ac:dyDescent="0.2">
      <c r="E2" s="102" t="s">
        <v>194</v>
      </c>
    </row>
    <row r="4" spans="5:9" x14ac:dyDescent="0.2">
      <c r="E4" s="749" t="s">
        <v>195</v>
      </c>
      <c r="F4" s="749"/>
      <c r="G4" s="751" t="s">
        <v>196</v>
      </c>
      <c r="H4" s="751"/>
      <c r="I4" s="751"/>
    </row>
    <row r="5" spans="5:9" x14ac:dyDescent="0.2">
      <c r="E5" s="749"/>
      <c r="F5" s="749"/>
      <c r="G5" s="751" t="s">
        <v>197</v>
      </c>
      <c r="H5" s="751"/>
      <c r="I5" s="751"/>
    </row>
    <row r="6" spans="5:9" ht="12.75" customHeight="1" x14ac:dyDescent="0.2">
      <c r="E6" s="750" t="s">
        <v>198</v>
      </c>
      <c r="F6" s="750"/>
      <c r="G6" s="751" t="s">
        <v>199</v>
      </c>
      <c r="H6" s="751"/>
      <c r="I6" s="751"/>
    </row>
    <row r="7" spans="5:9" x14ac:dyDescent="0.2">
      <c r="E7" s="750"/>
      <c r="F7" s="750"/>
    </row>
    <row r="9" spans="5:9" x14ac:dyDescent="0.2">
      <c r="E9" s="752" t="s">
        <v>200</v>
      </c>
      <c r="F9" s="752"/>
      <c r="G9" s="751" t="s">
        <v>201</v>
      </c>
      <c r="H9" s="751"/>
      <c r="I9" s="751"/>
    </row>
    <row r="10" spans="5:9" x14ac:dyDescent="0.2">
      <c r="G10" s="108"/>
      <c r="H10" s="108"/>
      <c r="I10" s="108"/>
    </row>
    <row r="11" spans="5:9" x14ac:dyDescent="0.2">
      <c r="E11" s="102" t="s">
        <v>202</v>
      </c>
      <c r="G11" s="108"/>
      <c r="H11" s="108"/>
      <c r="I11" s="108"/>
    </row>
    <row r="12" spans="5:9" x14ac:dyDescent="0.2">
      <c r="G12" s="108"/>
      <c r="H12" s="108"/>
      <c r="I12" s="108"/>
    </row>
    <row r="13" spans="5:9" x14ac:dyDescent="0.2">
      <c r="E13" s="103" t="s">
        <v>203</v>
      </c>
      <c r="G13" s="751" t="s">
        <v>204</v>
      </c>
      <c r="H13" s="751"/>
      <c r="I13" s="751"/>
    </row>
    <row r="14" spans="5:9" x14ac:dyDescent="0.2">
      <c r="G14" s="751" t="s">
        <v>205</v>
      </c>
      <c r="H14" s="751"/>
      <c r="I14" s="751"/>
    </row>
    <row r="15" spans="5:9" ht="12.75" customHeight="1" x14ac:dyDescent="0.2">
      <c r="G15" s="754" t="s">
        <v>213</v>
      </c>
      <c r="H15" s="754"/>
      <c r="I15" s="754"/>
    </row>
    <row r="16" spans="5:9" x14ac:dyDescent="0.2">
      <c r="F16" s="105"/>
      <c r="G16" s="754"/>
      <c r="H16" s="754"/>
      <c r="I16" s="754"/>
    </row>
    <row r="17" spans="5:9" x14ac:dyDescent="0.2">
      <c r="F17" s="104"/>
    </row>
    <row r="18" spans="5:9" ht="12.75" customHeight="1" x14ac:dyDescent="0.2">
      <c r="E18" s="746" t="s">
        <v>206</v>
      </c>
      <c r="F18" s="746"/>
    </row>
    <row r="19" spans="5:9" x14ac:dyDescent="0.2">
      <c r="E19" s="746"/>
      <c r="F19" s="746"/>
    </row>
    <row r="20" spans="5:9" x14ac:dyDescent="0.2">
      <c r="G20" s="108"/>
      <c r="H20" s="108"/>
      <c r="I20" s="108"/>
    </row>
    <row r="21" spans="5:9" x14ac:dyDescent="0.2">
      <c r="E21" s="103" t="s">
        <v>207</v>
      </c>
      <c r="G21" s="751" t="s">
        <v>208</v>
      </c>
      <c r="H21" s="751"/>
      <c r="I21" s="751"/>
    </row>
    <row r="22" spans="5:9" x14ac:dyDescent="0.2">
      <c r="G22" s="108"/>
      <c r="H22" s="108"/>
      <c r="I22" s="108"/>
    </row>
    <row r="23" spans="5:9" ht="12.75" customHeight="1" x14ac:dyDescent="0.2">
      <c r="E23" s="103" t="s">
        <v>209</v>
      </c>
      <c r="G23" s="754" t="s">
        <v>210</v>
      </c>
      <c r="H23" s="754"/>
      <c r="I23" s="754"/>
    </row>
    <row r="24" spans="5:9" x14ac:dyDescent="0.2">
      <c r="F24" s="105"/>
      <c r="G24" s="754"/>
      <c r="H24" s="754"/>
      <c r="I24" s="754"/>
    </row>
    <row r="25" spans="5:9" x14ac:dyDescent="0.2">
      <c r="G25" s="108"/>
      <c r="H25" s="108"/>
      <c r="I25" s="108"/>
    </row>
    <row r="26" spans="5:9" ht="12.75" customHeight="1" x14ac:dyDescent="0.2">
      <c r="E26" s="746" t="s">
        <v>211</v>
      </c>
      <c r="F26" s="746"/>
      <c r="G26" s="108"/>
      <c r="H26" s="108"/>
      <c r="I26" s="108"/>
    </row>
    <row r="27" spans="5:9" x14ac:dyDescent="0.2">
      <c r="E27" s="746"/>
      <c r="F27" s="746"/>
      <c r="G27" s="108"/>
      <c r="H27" s="108"/>
      <c r="I27" s="108"/>
    </row>
    <row r="28" spans="5:9" x14ac:dyDescent="0.2">
      <c r="G28" s="108"/>
      <c r="H28" s="108"/>
      <c r="I28" s="108"/>
    </row>
    <row r="29" spans="5:9" x14ac:dyDescent="0.2">
      <c r="E29" s="103" t="s">
        <v>207</v>
      </c>
      <c r="G29" s="751" t="s">
        <v>208</v>
      </c>
      <c r="H29" s="751"/>
      <c r="I29" s="751"/>
    </row>
    <row r="30" spans="5:9" x14ac:dyDescent="0.2">
      <c r="G30" s="108"/>
      <c r="H30" s="108"/>
      <c r="I30" s="108"/>
    </row>
    <row r="31" spans="5:9" ht="12.75" customHeight="1" x14ac:dyDescent="0.2">
      <c r="E31" s="103" t="s">
        <v>209</v>
      </c>
      <c r="G31" s="754" t="s">
        <v>212</v>
      </c>
      <c r="H31" s="754"/>
      <c r="I31" s="754"/>
    </row>
    <row r="32" spans="5:9" x14ac:dyDescent="0.2">
      <c r="F32" s="105"/>
      <c r="G32" s="754"/>
      <c r="H32" s="754"/>
      <c r="I32" s="754"/>
    </row>
    <row r="33" spans="1:8" x14ac:dyDescent="0.2">
      <c r="F33" s="105"/>
    </row>
    <row r="34" spans="1:8" x14ac:dyDescent="0.2">
      <c r="A34" s="106" t="s">
        <v>214</v>
      </c>
      <c r="B34" s="109" t="s">
        <v>215</v>
      </c>
      <c r="D34" s="747" t="s">
        <v>218</v>
      </c>
      <c r="E34" s="748" t="s">
        <v>219</v>
      </c>
      <c r="G34" s="747" t="s">
        <v>221</v>
      </c>
      <c r="H34" s="753">
        <v>2</v>
      </c>
    </row>
    <row r="35" spans="1:8" x14ac:dyDescent="0.2">
      <c r="A35" s="106" t="s">
        <v>216</v>
      </c>
      <c r="B35" s="109" t="s">
        <v>215</v>
      </c>
      <c r="D35" s="747"/>
      <c r="E35" s="748"/>
      <c r="G35" s="747"/>
      <c r="H35" s="753"/>
    </row>
    <row r="36" spans="1:8" ht="12.75" customHeight="1" x14ac:dyDescent="0.2">
      <c r="A36" s="747" t="s">
        <v>217</v>
      </c>
      <c r="B36" s="748" t="s">
        <v>215</v>
      </c>
      <c r="D36" s="747" t="s">
        <v>206</v>
      </c>
      <c r="E36" s="748" t="s">
        <v>215</v>
      </c>
      <c r="G36" s="747" t="s">
        <v>222</v>
      </c>
      <c r="H36" s="753">
        <v>1</v>
      </c>
    </row>
    <row r="37" spans="1:8" x14ac:dyDescent="0.2">
      <c r="A37" s="747"/>
      <c r="B37" s="753"/>
      <c r="D37" s="747"/>
      <c r="E37" s="748"/>
      <c r="G37" s="747"/>
      <c r="H37" s="753"/>
    </row>
    <row r="38" spans="1:8" ht="14.25" customHeight="1" x14ac:dyDescent="0.2">
      <c r="A38" s="747" t="s">
        <v>9</v>
      </c>
      <c r="B38" s="756" t="s">
        <v>252</v>
      </c>
      <c r="D38" s="747" t="s">
        <v>211</v>
      </c>
      <c r="E38" s="748" t="s">
        <v>215</v>
      </c>
      <c r="G38" s="106" t="s">
        <v>202</v>
      </c>
      <c r="H38" s="111" t="s">
        <v>215</v>
      </c>
    </row>
    <row r="39" spans="1:8" x14ac:dyDescent="0.2">
      <c r="A39" s="747"/>
      <c r="B39" s="756"/>
      <c r="D39" s="747"/>
      <c r="E39" s="748"/>
      <c r="G39" s="106" t="s">
        <v>223</v>
      </c>
      <c r="H39" s="111" t="s">
        <v>224</v>
      </c>
    </row>
    <row r="40" spans="1:8" x14ac:dyDescent="0.2">
      <c r="A40" s="747"/>
      <c r="B40" s="756"/>
      <c r="D40" s="106" t="s">
        <v>220</v>
      </c>
      <c r="E40" s="111" t="s">
        <v>215</v>
      </c>
      <c r="G40" s="106" t="s">
        <v>225</v>
      </c>
      <c r="H40" s="111" t="s">
        <v>215</v>
      </c>
    </row>
    <row r="41" spans="1:8" x14ac:dyDescent="0.2">
      <c r="B41" s="110"/>
      <c r="E41" s="29"/>
    </row>
    <row r="42" spans="1:8" x14ac:dyDescent="0.2">
      <c r="A42" s="747" t="s">
        <v>226</v>
      </c>
      <c r="B42" s="753">
        <v>1</v>
      </c>
      <c r="D42" s="755" t="s">
        <v>227</v>
      </c>
      <c r="E42" s="748" t="s">
        <v>215</v>
      </c>
    </row>
    <row r="43" spans="1:8" x14ac:dyDescent="0.2">
      <c r="A43" s="747"/>
      <c r="B43" s="753"/>
      <c r="D43" s="755"/>
      <c r="E43" s="748"/>
    </row>
    <row r="44" spans="1:8" x14ac:dyDescent="0.2">
      <c r="D44" s="107" t="s">
        <v>228</v>
      </c>
      <c r="E44" s="109" t="s">
        <v>224</v>
      </c>
    </row>
    <row r="45" spans="1:8" x14ac:dyDescent="0.2">
      <c r="D45" s="107" t="s">
        <v>229</v>
      </c>
      <c r="E45" s="109" t="s">
        <v>224</v>
      </c>
    </row>
    <row r="46" spans="1:8" x14ac:dyDescent="0.2">
      <c r="D46" s="113" t="s">
        <v>230</v>
      </c>
      <c r="E46" s="109" t="s">
        <v>224</v>
      </c>
    </row>
    <row r="47" spans="1:8" x14ac:dyDescent="0.2">
      <c r="E47" s="29"/>
    </row>
  </sheetData>
  <mergeCells count="34">
    <mergeCell ref="G36:G37"/>
    <mergeCell ref="H36:H37"/>
    <mergeCell ref="A42:A43"/>
    <mergeCell ref="B42:B43"/>
    <mergeCell ref="D42:D43"/>
    <mergeCell ref="E42:E43"/>
    <mergeCell ref="A36:A37"/>
    <mergeCell ref="B36:B37"/>
    <mergeCell ref="A38:A40"/>
    <mergeCell ref="B38:B40"/>
    <mergeCell ref="G34:G35"/>
    <mergeCell ref="H34:H35"/>
    <mergeCell ref="G4:I4"/>
    <mergeCell ref="G5:I5"/>
    <mergeCell ref="G6:I6"/>
    <mergeCell ref="G14:I14"/>
    <mergeCell ref="G15:I16"/>
    <mergeCell ref="G21:I21"/>
    <mergeCell ref="G23:I24"/>
    <mergeCell ref="G29:I29"/>
    <mergeCell ref="G31:I32"/>
    <mergeCell ref="E4:F5"/>
    <mergeCell ref="E6:F7"/>
    <mergeCell ref="G9:I9"/>
    <mergeCell ref="E9:F9"/>
    <mergeCell ref="G13:I13"/>
    <mergeCell ref="E18:F19"/>
    <mergeCell ref="D34:D35"/>
    <mergeCell ref="E34:E35"/>
    <mergeCell ref="D36:D37"/>
    <mergeCell ref="D38:D39"/>
    <mergeCell ref="E36:E37"/>
    <mergeCell ref="E38:E39"/>
    <mergeCell ref="E26:F27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4">
    <pageSetUpPr fitToPage="1"/>
  </sheetPr>
  <dimension ref="A1:D66"/>
  <sheetViews>
    <sheetView view="pageLayout" topLeftCell="A24" zoomScaleNormal="40" workbookViewId="0">
      <selection activeCell="B45" sqref="B45"/>
    </sheetView>
  </sheetViews>
  <sheetFormatPr defaultColWidth="9.140625" defaultRowHeight="12.75" x14ac:dyDescent="0.2"/>
  <cols>
    <col min="1" max="1" width="30.85546875" style="110" customWidth="1"/>
    <col min="2" max="2" width="18.42578125" style="110" customWidth="1"/>
    <col min="3" max="3" width="13.7109375" style="110" customWidth="1"/>
    <col min="4" max="4" width="41.85546875" style="110" customWidth="1"/>
    <col min="5" max="16384" width="9.140625" style="110"/>
  </cols>
  <sheetData>
    <row r="1" spans="1:4" x14ac:dyDescent="0.2">
      <c r="A1" s="114" t="s">
        <v>231</v>
      </c>
      <c r="B1" s="114" t="s">
        <v>232</v>
      </c>
      <c r="C1" s="114" t="s">
        <v>233</v>
      </c>
      <c r="D1" s="114" t="s">
        <v>0</v>
      </c>
    </row>
    <row r="2" spans="1:4" x14ac:dyDescent="0.2">
      <c r="A2" s="112" t="s">
        <v>234</v>
      </c>
      <c r="B2" s="112" t="s">
        <v>235</v>
      </c>
      <c r="C2" s="110">
        <v>1</v>
      </c>
      <c r="D2" s="112" t="s">
        <v>236</v>
      </c>
    </row>
    <row r="3" spans="1:4" x14ac:dyDescent="0.2">
      <c r="A3" s="112" t="s">
        <v>238</v>
      </c>
      <c r="B3" s="112" t="s">
        <v>237</v>
      </c>
      <c r="C3" s="110">
        <v>2</v>
      </c>
      <c r="D3" s="112" t="s">
        <v>195</v>
      </c>
    </row>
    <row r="4" spans="1:4" x14ac:dyDescent="0.2">
      <c r="A4" s="112" t="s">
        <v>239</v>
      </c>
      <c r="B4" s="112" t="s">
        <v>240</v>
      </c>
      <c r="C4" s="110">
        <v>2</v>
      </c>
      <c r="D4" s="112" t="s">
        <v>241</v>
      </c>
    </row>
    <row r="5" spans="1:4" x14ac:dyDescent="0.2">
      <c r="A5" s="112" t="s">
        <v>243</v>
      </c>
      <c r="B5" s="112" t="s">
        <v>242</v>
      </c>
      <c r="C5" s="110">
        <v>22</v>
      </c>
      <c r="D5" s="112" t="s">
        <v>244</v>
      </c>
    </row>
    <row r="6" spans="1:4" x14ac:dyDescent="0.2">
      <c r="B6" s="112" t="s">
        <v>245</v>
      </c>
      <c r="C6" s="110">
        <v>2</v>
      </c>
      <c r="D6" s="112" t="s">
        <v>246</v>
      </c>
    </row>
    <row r="7" spans="1:4" x14ac:dyDescent="0.2">
      <c r="A7" s="112" t="s">
        <v>253</v>
      </c>
      <c r="B7" s="112" t="s">
        <v>245</v>
      </c>
      <c r="C7" s="110">
        <v>2</v>
      </c>
      <c r="D7" s="112" t="s">
        <v>247</v>
      </c>
    </row>
    <row r="8" spans="1:4" x14ac:dyDescent="0.2">
      <c r="B8" s="112" t="s">
        <v>248</v>
      </c>
      <c r="C8" s="110">
        <v>1</v>
      </c>
      <c r="D8" s="112" t="s">
        <v>249</v>
      </c>
    </row>
    <row r="9" spans="1:4" x14ac:dyDescent="0.2">
      <c r="B9" s="112" t="s">
        <v>54</v>
      </c>
      <c r="C9" s="110">
        <v>1</v>
      </c>
      <c r="D9" s="112" t="s">
        <v>250</v>
      </c>
    </row>
    <row r="10" spans="1:4" x14ac:dyDescent="0.2">
      <c r="B10" s="112" t="s">
        <v>251</v>
      </c>
      <c r="C10" s="110">
        <v>1</v>
      </c>
      <c r="D10" s="112" t="s">
        <v>214</v>
      </c>
    </row>
    <row r="11" spans="1:4" x14ac:dyDescent="0.2">
      <c r="B11" s="110" t="s">
        <v>254</v>
      </c>
      <c r="C11" s="110">
        <v>1</v>
      </c>
      <c r="D11" s="112" t="s">
        <v>198</v>
      </c>
    </row>
    <row r="31" spans="1:1" x14ac:dyDescent="0.2">
      <c r="A31" s="274" t="s">
        <v>838</v>
      </c>
    </row>
    <row r="32" spans="1:1" ht="15" x14ac:dyDescent="0.2">
      <c r="A32" s="272" t="s">
        <v>840</v>
      </c>
    </row>
    <row r="33" spans="1:1" ht="15" x14ac:dyDescent="0.2">
      <c r="A33" s="272" t="s">
        <v>839</v>
      </c>
    </row>
    <row r="34" spans="1:1" ht="15" x14ac:dyDescent="0.2">
      <c r="A34" s="272" t="s">
        <v>844</v>
      </c>
    </row>
    <row r="35" spans="1:1" ht="15" x14ac:dyDescent="0.2">
      <c r="A35" s="275" t="s">
        <v>855</v>
      </c>
    </row>
    <row r="36" spans="1:1" ht="15" x14ac:dyDescent="0.2">
      <c r="A36" s="272" t="s">
        <v>845</v>
      </c>
    </row>
    <row r="37" spans="1:1" ht="15" x14ac:dyDescent="0.2">
      <c r="A37" s="272" t="s">
        <v>846</v>
      </c>
    </row>
    <row r="38" spans="1:1" ht="15" x14ac:dyDescent="0.2">
      <c r="A38" s="272" t="s">
        <v>850</v>
      </c>
    </row>
    <row r="39" spans="1:1" ht="15" x14ac:dyDescent="0.2">
      <c r="A39" s="272" t="s">
        <v>841</v>
      </c>
    </row>
    <row r="40" spans="1:1" ht="15" x14ac:dyDescent="0.2">
      <c r="A40" s="272" t="s">
        <v>842</v>
      </c>
    </row>
    <row r="41" spans="1:1" ht="15" x14ac:dyDescent="0.2">
      <c r="A41" s="272" t="s">
        <v>851</v>
      </c>
    </row>
    <row r="42" spans="1:1" ht="15" x14ac:dyDescent="0.2">
      <c r="A42" s="272" t="s">
        <v>852</v>
      </c>
    </row>
    <row r="43" spans="1:1" ht="15" x14ac:dyDescent="0.2">
      <c r="A43" s="272" t="s">
        <v>853</v>
      </c>
    </row>
    <row r="44" spans="1:1" ht="15" x14ac:dyDescent="0.2">
      <c r="A44" s="272" t="s">
        <v>858</v>
      </c>
    </row>
    <row r="45" spans="1:1" ht="15" x14ac:dyDescent="0.2">
      <c r="A45" s="272" t="s">
        <v>843</v>
      </c>
    </row>
    <row r="46" spans="1:1" ht="15" x14ac:dyDescent="0.2">
      <c r="A46" s="275" t="s">
        <v>856</v>
      </c>
    </row>
    <row r="47" spans="1:1" x14ac:dyDescent="0.2">
      <c r="A47" s="271" t="s">
        <v>854</v>
      </c>
    </row>
    <row r="48" spans="1:1" x14ac:dyDescent="0.2">
      <c r="A48" s="271" t="s">
        <v>847</v>
      </c>
    </row>
    <row r="49" spans="1:1" x14ac:dyDescent="0.2">
      <c r="A49" s="271"/>
    </row>
    <row r="50" spans="1:1" x14ac:dyDescent="0.2">
      <c r="A50" s="271"/>
    </row>
    <row r="51" spans="1:1" x14ac:dyDescent="0.2">
      <c r="A51" s="271"/>
    </row>
    <row r="52" spans="1:1" x14ac:dyDescent="0.2">
      <c r="A52" s="271"/>
    </row>
    <row r="53" spans="1:1" x14ac:dyDescent="0.2">
      <c r="A53" s="271"/>
    </row>
    <row r="54" spans="1:1" x14ac:dyDescent="0.2">
      <c r="A54" s="274"/>
    </row>
    <row r="55" spans="1:1" x14ac:dyDescent="0.2">
      <c r="A55" s="271"/>
    </row>
    <row r="56" spans="1:1" x14ac:dyDescent="0.2">
      <c r="A56" s="271"/>
    </row>
    <row r="57" spans="1:1" x14ac:dyDescent="0.2">
      <c r="A57" s="271"/>
    </row>
    <row r="58" spans="1:1" x14ac:dyDescent="0.2">
      <c r="A58" s="273"/>
    </row>
    <row r="59" spans="1:1" x14ac:dyDescent="0.2">
      <c r="A59" s="273"/>
    </row>
    <row r="60" spans="1:1" x14ac:dyDescent="0.2">
      <c r="A60" s="273"/>
    </row>
    <row r="61" spans="1:1" x14ac:dyDescent="0.2">
      <c r="A61" s="273"/>
    </row>
    <row r="62" spans="1:1" x14ac:dyDescent="0.2">
      <c r="A62" s="273"/>
    </row>
    <row r="63" spans="1:1" x14ac:dyDescent="0.2">
      <c r="A63" s="273"/>
    </row>
    <row r="64" spans="1:1" x14ac:dyDescent="0.2">
      <c r="A64" s="273"/>
    </row>
    <row r="65" spans="1:1" x14ac:dyDescent="0.2">
      <c r="A65" s="273"/>
    </row>
    <row r="66" spans="1:1" x14ac:dyDescent="0.2">
      <c r="A66" s="273"/>
    </row>
  </sheetData>
  <pageMargins left="0.70866141732283472" right="0.70866141732283472" top="0.74803149606299213" bottom="0.74803149606299213" header="0.31496062992125984" footer="0.31496062992125984"/>
  <pageSetup paperSize="9" scale="85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lha5"/>
  <dimension ref="A1:M411"/>
  <sheetViews>
    <sheetView topLeftCell="A16" workbookViewId="0">
      <selection activeCell="G29" sqref="G29"/>
    </sheetView>
  </sheetViews>
  <sheetFormatPr defaultColWidth="9.140625" defaultRowHeight="11.25" x14ac:dyDescent="0.2"/>
  <cols>
    <col min="1" max="1" width="30.85546875" style="198" customWidth="1"/>
    <col min="2" max="2" width="13.42578125" style="194" customWidth="1"/>
    <col min="3" max="3" width="22.7109375" style="194" customWidth="1"/>
    <col min="4" max="4" width="13.42578125" style="194" customWidth="1"/>
    <col min="5" max="6" width="9.140625" style="194"/>
    <col min="7" max="7" width="65.42578125" style="194" customWidth="1"/>
    <col min="8" max="9" width="9.140625" style="194"/>
    <col min="10" max="10" width="21.85546875" style="194" bestFit="1" customWidth="1"/>
    <col min="11" max="11" width="13.140625" style="194" bestFit="1" customWidth="1"/>
    <col min="12" max="12" width="9.140625" style="194"/>
    <col min="13" max="13" width="21.140625" style="194" customWidth="1"/>
    <col min="14" max="14" width="25.7109375" style="194" bestFit="1" customWidth="1"/>
    <col min="15" max="16384" width="9.140625" style="194"/>
  </cols>
  <sheetData>
    <row r="1" spans="1:13" x14ac:dyDescent="0.2">
      <c r="L1" s="194" t="s">
        <v>649</v>
      </c>
    </row>
    <row r="2" spans="1:13" x14ac:dyDescent="0.2">
      <c r="A2" s="218" t="s">
        <v>555</v>
      </c>
      <c r="B2" s="196" t="s">
        <v>232</v>
      </c>
      <c r="C2" s="196" t="s">
        <v>548</v>
      </c>
      <c r="D2" s="196" t="s">
        <v>11</v>
      </c>
      <c r="E2" s="196" t="s">
        <v>551</v>
      </c>
      <c r="F2" s="196" t="s">
        <v>549</v>
      </c>
      <c r="G2" s="196" t="s">
        <v>550</v>
      </c>
    </row>
    <row r="3" spans="1:13" x14ac:dyDescent="0.2">
      <c r="A3" s="218" t="s">
        <v>566</v>
      </c>
      <c r="B3" s="196"/>
      <c r="C3" s="196"/>
      <c r="D3" s="196"/>
      <c r="E3" s="196"/>
      <c r="F3" s="196"/>
      <c r="G3" s="196"/>
      <c r="H3" s="196"/>
      <c r="J3" s="196"/>
      <c r="M3" s="196"/>
    </row>
    <row r="4" spans="1:13" x14ac:dyDescent="0.2">
      <c r="A4" s="198" t="s">
        <v>364</v>
      </c>
      <c r="B4" s="194" t="s">
        <v>526</v>
      </c>
      <c r="C4" s="194" t="s">
        <v>929</v>
      </c>
      <c r="D4" s="194" t="s">
        <v>552</v>
      </c>
      <c r="E4" s="194" t="s">
        <v>388</v>
      </c>
      <c r="F4" s="194" t="s">
        <v>59</v>
      </c>
    </row>
    <row r="5" spans="1:13" x14ac:dyDescent="0.2">
      <c r="A5" s="198" t="s">
        <v>392</v>
      </c>
      <c r="B5" s="194" t="s">
        <v>526</v>
      </c>
      <c r="C5" s="194" t="s">
        <v>931</v>
      </c>
      <c r="D5" s="194" t="s">
        <v>552</v>
      </c>
      <c r="E5" s="194" t="s">
        <v>388</v>
      </c>
      <c r="F5" s="194" t="s">
        <v>59</v>
      </c>
    </row>
    <row r="6" spans="1:13" s="264" customFormat="1" x14ac:dyDescent="0.2">
      <c r="A6" s="265" t="s">
        <v>927</v>
      </c>
      <c r="B6" s="264" t="s">
        <v>526</v>
      </c>
      <c r="C6" s="264" t="s">
        <v>937</v>
      </c>
      <c r="D6" s="264" t="s">
        <v>552</v>
      </c>
      <c r="E6" s="264" t="s">
        <v>388</v>
      </c>
      <c r="F6" s="264" t="s">
        <v>59</v>
      </c>
    </row>
    <row r="7" spans="1:13" s="264" customFormat="1" x14ac:dyDescent="0.2">
      <c r="A7" s="265" t="s">
        <v>938</v>
      </c>
      <c r="C7" s="264" t="s">
        <v>940</v>
      </c>
      <c r="D7" s="264" t="s">
        <v>552</v>
      </c>
      <c r="E7" s="264" t="s">
        <v>388</v>
      </c>
      <c r="F7" s="264" t="s">
        <v>59</v>
      </c>
      <c r="G7" s="264" t="s">
        <v>939</v>
      </c>
    </row>
    <row r="8" spans="1:13" x14ac:dyDescent="0.2">
      <c r="A8" s="265" t="s">
        <v>394</v>
      </c>
      <c r="B8" s="194" t="s">
        <v>526</v>
      </c>
      <c r="C8" s="194" t="s">
        <v>930</v>
      </c>
      <c r="D8" s="194" t="s">
        <v>552</v>
      </c>
      <c r="E8" s="194" t="s">
        <v>388</v>
      </c>
      <c r="F8" s="194" t="s">
        <v>466</v>
      </c>
    </row>
    <row r="9" spans="1:13" x14ac:dyDescent="0.2">
      <c r="A9" s="265" t="s">
        <v>395</v>
      </c>
      <c r="B9" s="194" t="s">
        <v>526</v>
      </c>
      <c r="C9" s="194" t="s">
        <v>932</v>
      </c>
      <c r="D9" s="194" t="s">
        <v>552</v>
      </c>
      <c r="E9" s="194" t="s">
        <v>388</v>
      </c>
      <c r="F9" s="194" t="s">
        <v>466</v>
      </c>
    </row>
    <row r="10" spans="1:13" s="264" customFormat="1" x14ac:dyDescent="0.2">
      <c r="A10" s="265" t="s">
        <v>928</v>
      </c>
      <c r="B10" s="264" t="s">
        <v>526</v>
      </c>
      <c r="C10" s="264" t="s">
        <v>936</v>
      </c>
      <c r="D10" s="264" t="s">
        <v>552</v>
      </c>
      <c r="E10" s="264" t="s">
        <v>388</v>
      </c>
      <c r="F10" s="264" t="s">
        <v>466</v>
      </c>
    </row>
    <row r="11" spans="1:13" x14ac:dyDescent="0.2">
      <c r="A11" s="265" t="s">
        <v>926</v>
      </c>
      <c r="B11" s="194" t="s">
        <v>526</v>
      </c>
      <c r="C11" s="264" t="s">
        <v>941</v>
      </c>
      <c r="D11" s="194" t="s">
        <v>552</v>
      </c>
      <c r="E11" s="194" t="s">
        <v>388</v>
      </c>
      <c r="F11" s="264" t="s">
        <v>466</v>
      </c>
    </row>
    <row r="12" spans="1:13" s="264" customFormat="1" x14ac:dyDescent="0.2">
      <c r="A12" s="265" t="s">
        <v>933</v>
      </c>
      <c r="B12" s="264" t="s">
        <v>526</v>
      </c>
      <c r="C12" s="264" t="s">
        <v>934</v>
      </c>
      <c r="D12" s="264" t="s">
        <v>552</v>
      </c>
      <c r="E12" s="264" t="s">
        <v>388</v>
      </c>
      <c r="F12" s="264" t="s">
        <v>935</v>
      </c>
    </row>
    <row r="13" spans="1:13" s="264" customFormat="1" x14ac:dyDescent="0.2">
      <c r="A13" s="265" t="s">
        <v>757</v>
      </c>
      <c r="B13" s="264" t="s">
        <v>526</v>
      </c>
      <c r="C13" s="264" t="s">
        <v>393</v>
      </c>
      <c r="D13" s="264" t="s">
        <v>552</v>
      </c>
      <c r="E13" s="264" t="s">
        <v>372</v>
      </c>
      <c r="F13" s="264" t="s">
        <v>59</v>
      </c>
    </row>
    <row r="14" spans="1:13" x14ac:dyDescent="0.2">
      <c r="A14" s="198" t="s">
        <v>758</v>
      </c>
      <c r="B14" s="194" t="s">
        <v>526</v>
      </c>
      <c r="C14" s="264" t="s">
        <v>396</v>
      </c>
      <c r="D14" s="194" t="s">
        <v>552</v>
      </c>
      <c r="E14" s="194" t="s">
        <v>372</v>
      </c>
      <c r="F14" s="194" t="s">
        <v>466</v>
      </c>
    </row>
    <row r="17" spans="1:7" x14ac:dyDescent="0.2">
      <c r="A17" s="218" t="s">
        <v>565</v>
      </c>
      <c r="B17" s="196"/>
      <c r="C17" s="196"/>
      <c r="D17" s="196"/>
      <c r="E17" s="196"/>
    </row>
    <row r="18" spans="1:7" x14ac:dyDescent="0.2">
      <c r="A18" s="198" t="s">
        <v>397</v>
      </c>
      <c r="B18" s="194" t="s">
        <v>526</v>
      </c>
      <c r="C18" s="194" t="s">
        <v>398</v>
      </c>
      <c r="D18" s="194" t="s">
        <v>553</v>
      </c>
      <c r="E18" s="194" t="s">
        <v>374</v>
      </c>
      <c r="F18" s="194" t="s">
        <v>59</v>
      </c>
    </row>
    <row r="19" spans="1:7" x14ac:dyDescent="0.2">
      <c r="A19" s="198" t="s">
        <v>399</v>
      </c>
      <c r="B19" s="194" t="s">
        <v>526</v>
      </c>
      <c r="C19" s="194" t="s">
        <v>400</v>
      </c>
      <c r="D19" s="194" t="s">
        <v>553</v>
      </c>
      <c r="E19" s="194" t="s">
        <v>374</v>
      </c>
      <c r="F19" s="194" t="s">
        <v>59</v>
      </c>
    </row>
    <row r="20" spans="1:7" x14ac:dyDescent="0.2">
      <c r="A20" s="198" t="s">
        <v>401</v>
      </c>
      <c r="B20" s="194" t="s">
        <v>526</v>
      </c>
      <c r="C20" s="194" t="s">
        <v>402</v>
      </c>
      <c r="D20" s="194" t="s">
        <v>553</v>
      </c>
      <c r="E20" s="194" t="s">
        <v>374</v>
      </c>
      <c r="F20" s="194" t="s">
        <v>59</v>
      </c>
    </row>
    <row r="21" spans="1:7" x14ac:dyDescent="0.2">
      <c r="A21" s="198" t="s">
        <v>710</v>
      </c>
      <c r="B21" s="194" t="s">
        <v>527</v>
      </c>
      <c r="C21" s="194" t="s">
        <v>575</v>
      </c>
      <c r="D21" s="194" t="s">
        <v>553</v>
      </c>
      <c r="E21" s="194" t="s">
        <v>329</v>
      </c>
      <c r="F21" s="194" t="s">
        <v>59</v>
      </c>
    </row>
    <row r="22" spans="1:7" x14ac:dyDescent="0.2">
      <c r="A22" s="198" t="s">
        <v>709</v>
      </c>
      <c r="B22" s="194" t="s">
        <v>527</v>
      </c>
      <c r="C22" s="194" t="s">
        <v>576</v>
      </c>
      <c r="D22" s="194" t="s">
        <v>553</v>
      </c>
      <c r="E22" s="194" t="s">
        <v>329</v>
      </c>
      <c r="F22" s="194" t="s">
        <v>59</v>
      </c>
    </row>
    <row r="23" spans="1:7" x14ac:dyDescent="0.2">
      <c r="A23" s="198" t="s">
        <v>708</v>
      </c>
      <c r="B23" s="194" t="s">
        <v>527</v>
      </c>
      <c r="C23" s="194" t="s">
        <v>577</v>
      </c>
      <c r="D23" s="194" t="s">
        <v>553</v>
      </c>
      <c r="E23" s="194" t="s">
        <v>329</v>
      </c>
      <c r="F23" s="194" t="s">
        <v>59</v>
      </c>
    </row>
    <row r="24" spans="1:7" x14ac:dyDescent="0.2">
      <c r="A24" s="198" t="s">
        <v>707</v>
      </c>
      <c r="B24" s="194" t="s">
        <v>527</v>
      </c>
      <c r="C24" s="194" t="s">
        <v>578</v>
      </c>
      <c r="D24" s="194" t="s">
        <v>553</v>
      </c>
      <c r="E24" s="194" t="s">
        <v>329</v>
      </c>
      <c r="F24" s="194" t="s">
        <v>59</v>
      </c>
    </row>
    <row r="25" spans="1:7" s="264" customFormat="1" x14ac:dyDescent="0.2">
      <c r="A25" s="265" t="s">
        <v>752</v>
      </c>
      <c r="B25" s="264" t="s">
        <v>527</v>
      </c>
      <c r="C25" s="264" t="s">
        <v>575</v>
      </c>
      <c r="D25" s="264" t="s">
        <v>553</v>
      </c>
      <c r="E25" s="264" t="s">
        <v>329</v>
      </c>
      <c r="F25" s="264" t="s">
        <v>59</v>
      </c>
      <c r="G25" s="264" t="s">
        <v>753</v>
      </c>
    </row>
    <row r="26" spans="1:7" s="264" customFormat="1" x14ac:dyDescent="0.2">
      <c r="A26" s="265" t="s">
        <v>754</v>
      </c>
      <c r="B26" s="264" t="s">
        <v>527</v>
      </c>
      <c r="C26" s="264" t="s">
        <v>576</v>
      </c>
      <c r="D26" s="264" t="s">
        <v>553</v>
      </c>
      <c r="E26" s="264" t="s">
        <v>329</v>
      </c>
      <c r="F26" s="264" t="s">
        <v>59</v>
      </c>
      <c r="G26" s="264" t="s">
        <v>753</v>
      </c>
    </row>
    <row r="27" spans="1:7" s="264" customFormat="1" x14ac:dyDescent="0.2">
      <c r="A27" s="265" t="s">
        <v>755</v>
      </c>
      <c r="B27" s="264" t="s">
        <v>527</v>
      </c>
      <c r="C27" s="264" t="s">
        <v>577</v>
      </c>
      <c r="D27" s="264" t="s">
        <v>553</v>
      </c>
      <c r="E27" s="264" t="s">
        <v>329</v>
      </c>
      <c r="F27" s="264" t="s">
        <v>59</v>
      </c>
      <c r="G27" s="264" t="s">
        <v>753</v>
      </c>
    </row>
    <row r="28" spans="1:7" s="264" customFormat="1" x14ac:dyDescent="0.2">
      <c r="A28" s="265" t="s">
        <v>756</v>
      </c>
      <c r="B28" s="264" t="s">
        <v>527</v>
      </c>
      <c r="C28" s="264" t="s">
        <v>578</v>
      </c>
      <c r="D28" s="264" t="s">
        <v>553</v>
      </c>
      <c r="E28" s="264" t="s">
        <v>329</v>
      </c>
      <c r="F28" s="264" t="s">
        <v>59</v>
      </c>
      <c r="G28" s="264" t="s">
        <v>753</v>
      </c>
    </row>
    <row r="29" spans="1:7" x14ac:dyDescent="0.2">
      <c r="A29" s="198" t="s">
        <v>711</v>
      </c>
      <c r="B29" s="194" t="s">
        <v>527</v>
      </c>
      <c r="C29" s="194" t="s">
        <v>704</v>
      </c>
      <c r="D29" s="194" t="s">
        <v>553</v>
      </c>
      <c r="E29" s="194" t="s">
        <v>705</v>
      </c>
      <c r="F29" s="194" t="s">
        <v>59</v>
      </c>
    </row>
    <row r="30" spans="1:7" x14ac:dyDescent="0.2">
      <c r="A30" s="198" t="s">
        <v>712</v>
      </c>
      <c r="B30" s="194" t="s">
        <v>527</v>
      </c>
      <c r="C30" s="194" t="s">
        <v>706</v>
      </c>
      <c r="D30" s="194" t="s">
        <v>553</v>
      </c>
      <c r="E30" s="194" t="s">
        <v>705</v>
      </c>
      <c r="F30" s="194" t="s">
        <v>59</v>
      </c>
    </row>
    <row r="31" spans="1:7" s="264" customFormat="1" x14ac:dyDescent="0.2">
      <c r="A31" s="265" t="s">
        <v>1180</v>
      </c>
      <c r="B31" s="264" t="s">
        <v>527</v>
      </c>
      <c r="C31" s="264" t="s">
        <v>1181</v>
      </c>
      <c r="D31" s="264" t="s">
        <v>553</v>
      </c>
      <c r="E31" s="264" t="s">
        <v>403</v>
      </c>
      <c r="F31" s="264" t="s">
        <v>467</v>
      </c>
    </row>
    <row r="32" spans="1:7" s="264" customFormat="1" x14ac:dyDescent="0.2">
      <c r="A32" s="265" t="s">
        <v>1077</v>
      </c>
      <c r="B32" s="264" t="s">
        <v>527</v>
      </c>
      <c r="C32" s="264" t="s">
        <v>1079</v>
      </c>
      <c r="D32" s="264" t="s">
        <v>553</v>
      </c>
      <c r="E32" s="264" t="s">
        <v>403</v>
      </c>
      <c r="F32" s="264" t="s">
        <v>467</v>
      </c>
    </row>
    <row r="33" spans="1:7" s="264" customFormat="1" x14ac:dyDescent="0.2">
      <c r="A33" s="265" t="s">
        <v>898</v>
      </c>
      <c r="B33" s="264" t="s">
        <v>527</v>
      </c>
      <c r="C33" s="264" t="s">
        <v>899</v>
      </c>
      <c r="D33" s="264" t="s">
        <v>553</v>
      </c>
      <c r="E33" s="264" t="s">
        <v>374</v>
      </c>
      <c r="F33" s="264" t="s">
        <v>59</v>
      </c>
      <c r="G33" s="264" t="s">
        <v>753</v>
      </c>
    </row>
    <row r="34" spans="1:7" x14ac:dyDescent="0.2">
      <c r="A34" s="198" t="s">
        <v>976</v>
      </c>
      <c r="B34" s="194" t="s">
        <v>527</v>
      </c>
      <c r="C34" s="194" t="s">
        <v>977</v>
      </c>
      <c r="D34" s="194" t="s">
        <v>553</v>
      </c>
      <c r="E34" s="194" t="s">
        <v>403</v>
      </c>
      <c r="F34" s="194" t="s">
        <v>59</v>
      </c>
    </row>
    <row r="38" spans="1:7" x14ac:dyDescent="0.2">
      <c r="A38" s="218" t="s">
        <v>564</v>
      </c>
      <c r="B38" s="196"/>
      <c r="C38" s="196"/>
      <c r="D38" s="196"/>
      <c r="E38" s="196"/>
    </row>
    <row r="39" spans="1:7" x14ac:dyDescent="0.2">
      <c r="A39" s="198" t="s">
        <v>583</v>
      </c>
      <c r="B39" s="194" t="s">
        <v>527</v>
      </c>
      <c r="C39" s="194" t="s">
        <v>530</v>
      </c>
      <c r="D39" s="194" t="s">
        <v>554</v>
      </c>
      <c r="E39" s="194" t="s">
        <v>406</v>
      </c>
      <c r="F39" s="194" t="s">
        <v>59</v>
      </c>
    </row>
    <row r="40" spans="1:7" x14ac:dyDescent="0.2">
      <c r="A40" s="198" t="s">
        <v>407</v>
      </c>
      <c r="B40" s="194" t="s">
        <v>527</v>
      </c>
      <c r="C40" s="194" t="s">
        <v>531</v>
      </c>
      <c r="D40" s="194" t="s">
        <v>554</v>
      </c>
      <c r="E40" s="194" t="s">
        <v>406</v>
      </c>
      <c r="F40" s="194" t="s">
        <v>467</v>
      </c>
    </row>
    <row r="41" spans="1:7" s="264" customFormat="1" x14ac:dyDescent="0.2">
      <c r="A41" s="265" t="s">
        <v>1078</v>
      </c>
      <c r="B41" s="264" t="s">
        <v>527</v>
      </c>
      <c r="C41" s="264" t="s">
        <v>1080</v>
      </c>
      <c r="D41" s="264" t="s">
        <v>554</v>
      </c>
      <c r="E41" s="264" t="s">
        <v>403</v>
      </c>
      <c r="F41" s="264" t="s">
        <v>467</v>
      </c>
    </row>
    <row r="42" spans="1:7" x14ac:dyDescent="0.2">
      <c r="A42" s="198" t="s">
        <v>529</v>
      </c>
      <c r="B42" s="194" t="s">
        <v>528</v>
      </c>
      <c r="C42" s="194" t="s">
        <v>532</v>
      </c>
      <c r="D42" s="194" t="s">
        <v>554</v>
      </c>
      <c r="E42" s="194" t="s">
        <v>406</v>
      </c>
      <c r="F42" s="194" t="s">
        <v>533</v>
      </c>
      <c r="G42" s="194" t="s">
        <v>534</v>
      </c>
    </row>
    <row r="45" spans="1:7" x14ac:dyDescent="0.2">
      <c r="A45" s="218" t="s">
        <v>563</v>
      </c>
      <c r="B45" s="196"/>
      <c r="C45" s="196"/>
      <c r="D45" s="196"/>
      <c r="E45" s="196"/>
    </row>
    <row r="46" spans="1:7" x14ac:dyDescent="0.2">
      <c r="A46" s="198" t="s">
        <v>272</v>
      </c>
      <c r="B46" s="194" t="s">
        <v>535</v>
      </c>
      <c r="C46" s="194" t="s">
        <v>405</v>
      </c>
      <c r="D46" s="194" t="s">
        <v>556</v>
      </c>
      <c r="E46" s="194" t="s">
        <v>12</v>
      </c>
      <c r="F46" s="194" t="s">
        <v>468</v>
      </c>
      <c r="G46" s="194" t="s">
        <v>567</v>
      </c>
    </row>
    <row r="47" spans="1:7" x14ac:dyDescent="0.2">
      <c r="A47" s="198" t="s">
        <v>271</v>
      </c>
      <c r="B47" s="194" t="s">
        <v>535</v>
      </c>
      <c r="C47" s="194" t="s">
        <v>405</v>
      </c>
      <c r="D47" s="194" t="s">
        <v>556</v>
      </c>
      <c r="E47" s="194" t="s">
        <v>12</v>
      </c>
      <c r="F47" s="194" t="s">
        <v>468</v>
      </c>
      <c r="G47" s="194" t="s">
        <v>568</v>
      </c>
    </row>
    <row r="48" spans="1:7" x14ac:dyDescent="0.2">
      <c r="A48" s="198" t="s">
        <v>373</v>
      </c>
      <c r="B48" s="194" t="s">
        <v>535</v>
      </c>
      <c r="C48" s="194" t="s">
        <v>405</v>
      </c>
      <c r="D48" s="194" t="s">
        <v>556</v>
      </c>
      <c r="E48" s="194" t="s">
        <v>12</v>
      </c>
      <c r="F48" s="194" t="s">
        <v>468</v>
      </c>
    </row>
    <row r="49" spans="1:8" s="264" customFormat="1" x14ac:dyDescent="0.2">
      <c r="A49" s="355" t="s">
        <v>768</v>
      </c>
      <c r="B49" s="355" t="s">
        <v>535</v>
      </c>
      <c r="C49" s="355" t="s">
        <v>769</v>
      </c>
      <c r="D49" s="355" t="s">
        <v>556</v>
      </c>
      <c r="E49" s="355" t="s">
        <v>12</v>
      </c>
      <c r="F49" s="355" t="s">
        <v>770</v>
      </c>
      <c r="G49" s="264" t="s">
        <v>1017</v>
      </c>
      <c r="H49" s="264">
        <v>12.1</v>
      </c>
    </row>
    <row r="50" spans="1:8" s="264" customFormat="1" x14ac:dyDescent="0.2">
      <c r="A50" s="264" t="s">
        <v>1018</v>
      </c>
      <c r="B50" s="264" t="s">
        <v>535</v>
      </c>
      <c r="C50" s="264" t="s">
        <v>1019</v>
      </c>
      <c r="D50" s="264" t="s">
        <v>556</v>
      </c>
      <c r="E50" s="264" t="s">
        <v>12</v>
      </c>
      <c r="F50" s="264" t="s">
        <v>774</v>
      </c>
      <c r="G50" s="264" t="s">
        <v>771</v>
      </c>
      <c r="H50" s="264">
        <v>12.1</v>
      </c>
    </row>
    <row r="51" spans="1:8" s="264" customFormat="1" x14ac:dyDescent="0.2">
      <c r="A51" s="264" t="s">
        <v>574</v>
      </c>
      <c r="B51" s="264" t="s">
        <v>535</v>
      </c>
      <c r="C51" s="264" t="s">
        <v>404</v>
      </c>
      <c r="D51" s="264" t="s">
        <v>556</v>
      </c>
      <c r="E51" s="264" t="s">
        <v>12</v>
      </c>
      <c r="F51" s="264" t="s">
        <v>468</v>
      </c>
    </row>
    <row r="52" spans="1:8" s="264" customFormat="1" x14ac:dyDescent="0.2">
      <c r="A52" s="264" t="s">
        <v>970</v>
      </c>
      <c r="B52" s="264" t="s">
        <v>535</v>
      </c>
      <c r="C52" s="264" t="s">
        <v>971</v>
      </c>
      <c r="D52" s="264" t="s">
        <v>556</v>
      </c>
      <c r="E52" s="264" t="s">
        <v>12</v>
      </c>
      <c r="F52" s="264" t="s">
        <v>770</v>
      </c>
      <c r="G52" s="264" t="s">
        <v>1020</v>
      </c>
      <c r="H52" s="264">
        <v>13.86</v>
      </c>
    </row>
    <row r="53" spans="1:8" s="264" customFormat="1" x14ac:dyDescent="0.2">
      <c r="A53" s="264" t="s">
        <v>1021</v>
      </c>
      <c r="B53" s="264" t="s">
        <v>535</v>
      </c>
      <c r="C53" s="264" t="s">
        <v>773</v>
      </c>
      <c r="D53" s="264" t="s">
        <v>556</v>
      </c>
      <c r="E53" s="264" t="s">
        <v>12</v>
      </c>
      <c r="F53" s="264" t="s">
        <v>774</v>
      </c>
      <c r="G53" s="264" t="s">
        <v>1022</v>
      </c>
      <c r="H53" s="264">
        <v>19.72</v>
      </c>
    </row>
    <row r="54" spans="1:8" s="264" customFormat="1" x14ac:dyDescent="0.2">
      <c r="A54" s="264" t="s">
        <v>367</v>
      </c>
      <c r="B54" s="264" t="s">
        <v>535</v>
      </c>
      <c r="C54" s="264" t="s">
        <v>404</v>
      </c>
      <c r="D54" s="264" t="s">
        <v>556</v>
      </c>
      <c r="E54" s="264" t="s">
        <v>12</v>
      </c>
      <c r="F54" s="264" t="s">
        <v>468</v>
      </c>
    </row>
    <row r="55" spans="1:8" s="264" customFormat="1" x14ac:dyDescent="0.2">
      <c r="A55" s="264" t="s">
        <v>772</v>
      </c>
      <c r="B55" s="264" t="s">
        <v>535</v>
      </c>
      <c r="C55" s="264" t="s">
        <v>773</v>
      </c>
      <c r="D55" s="264" t="s">
        <v>556</v>
      </c>
      <c r="E55" s="264" t="s">
        <v>12</v>
      </c>
      <c r="F55" s="264" t="s">
        <v>774</v>
      </c>
      <c r="G55" s="264" t="s">
        <v>775</v>
      </c>
      <c r="H55" s="264">
        <v>36.36</v>
      </c>
    </row>
    <row r="56" spans="1:8" x14ac:dyDescent="0.2">
      <c r="A56" s="198" t="s">
        <v>469</v>
      </c>
      <c r="B56" s="194" t="s">
        <v>536</v>
      </c>
      <c r="C56" s="194" t="s">
        <v>579</v>
      </c>
      <c r="D56" s="194" t="s">
        <v>556</v>
      </c>
      <c r="E56" s="194" t="s">
        <v>12</v>
      </c>
      <c r="F56" s="194" t="s">
        <v>467</v>
      </c>
      <c r="G56" s="194" t="s">
        <v>569</v>
      </c>
    </row>
    <row r="57" spans="1:8" x14ac:dyDescent="0.2">
      <c r="A57" s="198" t="s">
        <v>635</v>
      </c>
      <c r="B57" s="194" t="s">
        <v>536</v>
      </c>
      <c r="C57" s="194" t="s">
        <v>580</v>
      </c>
      <c r="D57" s="194" t="s">
        <v>556</v>
      </c>
      <c r="E57" s="194" t="s">
        <v>12</v>
      </c>
      <c r="F57" s="194" t="s">
        <v>467</v>
      </c>
      <c r="G57" s="194" t="s">
        <v>569</v>
      </c>
    </row>
    <row r="60" spans="1:8" x14ac:dyDescent="0.2">
      <c r="A60" s="218" t="s">
        <v>557</v>
      </c>
      <c r="B60" s="196"/>
    </row>
    <row r="61" spans="1:8" x14ac:dyDescent="0.2">
      <c r="A61" s="198" t="s">
        <v>389</v>
      </c>
      <c r="B61" s="194" t="s">
        <v>242</v>
      </c>
      <c r="C61" s="194" t="s">
        <v>390</v>
      </c>
      <c r="D61" s="194" t="s">
        <v>557</v>
      </c>
      <c r="E61" s="194" t="s">
        <v>391</v>
      </c>
    </row>
    <row r="62" spans="1:8" x14ac:dyDescent="0.2">
      <c r="A62" s="198" t="s">
        <v>631</v>
      </c>
      <c r="B62" s="194" t="s">
        <v>245</v>
      </c>
      <c r="C62" s="194" t="s">
        <v>632</v>
      </c>
      <c r="D62" s="194" t="s">
        <v>633</v>
      </c>
      <c r="G62" s="194" t="s">
        <v>634</v>
      </c>
    </row>
    <row r="63" spans="1:8" x14ac:dyDescent="0.2">
      <c r="A63" s="198" t="s">
        <v>538</v>
      </c>
      <c r="B63" s="194" t="s">
        <v>535</v>
      </c>
      <c r="C63" s="194" t="s">
        <v>537</v>
      </c>
      <c r="D63" s="194" t="s">
        <v>557</v>
      </c>
    </row>
    <row r="64" spans="1:8" ht="22.5" x14ac:dyDescent="0.2">
      <c r="A64" s="265" t="s">
        <v>762</v>
      </c>
      <c r="B64" s="264" t="s">
        <v>539</v>
      </c>
      <c r="C64" s="270" t="s">
        <v>763</v>
      </c>
      <c r="D64" s="264" t="s">
        <v>557</v>
      </c>
      <c r="E64" s="264"/>
      <c r="F64" s="264" t="s">
        <v>533</v>
      </c>
      <c r="G64" s="270" t="s">
        <v>764</v>
      </c>
    </row>
    <row r="65" spans="1:7" x14ac:dyDescent="0.2">
      <c r="A65" s="198" t="s">
        <v>541</v>
      </c>
      <c r="B65" s="194" t="s">
        <v>535</v>
      </c>
      <c r="C65" s="194" t="s">
        <v>540</v>
      </c>
      <c r="D65" s="194" t="s">
        <v>557</v>
      </c>
      <c r="F65" s="194" t="s">
        <v>466</v>
      </c>
    </row>
    <row r="66" spans="1:7" x14ac:dyDescent="0.2">
      <c r="A66" s="198" t="s">
        <v>542</v>
      </c>
      <c r="B66" s="194" t="s">
        <v>535</v>
      </c>
      <c r="C66" s="194" t="s">
        <v>543</v>
      </c>
      <c r="D66" s="194" t="s">
        <v>557</v>
      </c>
      <c r="G66" s="195"/>
    </row>
    <row r="67" spans="1:7" x14ac:dyDescent="0.2">
      <c r="A67" s="198" t="s">
        <v>562</v>
      </c>
      <c r="B67" s="194" t="s">
        <v>535</v>
      </c>
      <c r="C67" s="194" t="s">
        <v>561</v>
      </c>
      <c r="D67" s="194" t="s">
        <v>557</v>
      </c>
      <c r="G67" s="194" t="s">
        <v>560</v>
      </c>
    </row>
    <row r="68" spans="1:7" x14ac:dyDescent="0.2">
      <c r="A68" s="198" t="s">
        <v>559</v>
      </c>
      <c r="B68" s="194" t="s">
        <v>527</v>
      </c>
      <c r="D68" s="194" t="s">
        <v>557</v>
      </c>
      <c r="F68" s="194" t="s">
        <v>533</v>
      </c>
      <c r="G68" s="194" t="s">
        <v>558</v>
      </c>
    </row>
    <row r="69" spans="1:7" x14ac:dyDescent="0.2">
      <c r="A69" s="198" t="s">
        <v>238</v>
      </c>
      <c r="B69" s="194" t="s">
        <v>237</v>
      </c>
      <c r="C69" s="194" t="s">
        <v>195</v>
      </c>
      <c r="D69" s="194" t="s">
        <v>557</v>
      </c>
    </row>
    <row r="70" spans="1:7" x14ac:dyDescent="0.2">
      <c r="B70" s="194" t="s">
        <v>544</v>
      </c>
      <c r="C70" s="194" t="s">
        <v>545</v>
      </c>
      <c r="D70" s="194" t="s">
        <v>557</v>
      </c>
    </row>
    <row r="78" spans="1:7" x14ac:dyDescent="0.2">
      <c r="A78" s="218" t="s">
        <v>571</v>
      </c>
      <c r="B78" s="196"/>
    </row>
    <row r="79" spans="1:7" x14ac:dyDescent="0.2">
      <c r="A79" s="218" t="s">
        <v>572</v>
      </c>
      <c r="B79" s="196"/>
    </row>
    <row r="80" spans="1:7" ht="12.75" x14ac:dyDescent="0.2">
      <c r="A80" s="264" t="s">
        <v>384</v>
      </c>
      <c r="B80" s="264" t="s">
        <v>535</v>
      </c>
      <c r="C80" s="264" t="s">
        <v>459</v>
      </c>
      <c r="D80" s="254"/>
      <c r="E80" s="254"/>
      <c r="F80" s="254"/>
      <c r="G80" s="254"/>
    </row>
    <row r="81" spans="1:7" ht="12.75" x14ac:dyDescent="0.2">
      <c r="A81" s="264" t="s">
        <v>1165</v>
      </c>
      <c r="B81" s="264" t="s">
        <v>535</v>
      </c>
      <c r="C81" s="264" t="s">
        <v>460</v>
      </c>
      <c r="D81" s="254"/>
      <c r="E81" s="254"/>
      <c r="F81" s="254"/>
      <c r="G81" s="254"/>
    </row>
    <row r="82" spans="1:7" ht="12.75" x14ac:dyDescent="0.2">
      <c r="A82" s="264" t="s">
        <v>383</v>
      </c>
      <c r="B82" s="264" t="s">
        <v>535</v>
      </c>
      <c r="C82" s="264" t="s">
        <v>461</v>
      </c>
      <c r="D82" s="254"/>
      <c r="E82" s="254"/>
      <c r="F82" s="254"/>
      <c r="G82" s="254"/>
    </row>
    <row r="83" spans="1:7" ht="12.75" x14ac:dyDescent="0.2">
      <c r="A83" s="264" t="s">
        <v>412</v>
      </c>
      <c r="B83" s="264" t="s">
        <v>535</v>
      </c>
      <c r="C83" s="264" t="s">
        <v>459</v>
      </c>
      <c r="D83" s="254"/>
      <c r="E83" s="254"/>
      <c r="F83" s="254"/>
      <c r="G83" s="255" t="s">
        <v>721</v>
      </c>
    </row>
    <row r="84" spans="1:7" ht="12.75" x14ac:dyDescent="0.2">
      <c r="A84" s="264" t="s">
        <v>1166</v>
      </c>
      <c r="B84" s="264" t="s">
        <v>535</v>
      </c>
      <c r="C84" s="264" t="s">
        <v>460</v>
      </c>
      <c r="D84" s="254"/>
      <c r="E84" s="254"/>
      <c r="F84" s="254"/>
      <c r="G84" s="255" t="s">
        <v>721</v>
      </c>
    </row>
    <row r="85" spans="1:7" ht="12.75" x14ac:dyDescent="0.2">
      <c r="A85" s="264" t="s">
        <v>411</v>
      </c>
      <c r="B85" s="264" t="s">
        <v>535</v>
      </c>
      <c r="C85" s="264" t="s">
        <v>461</v>
      </c>
      <c r="D85" s="254"/>
      <c r="E85" s="254"/>
      <c r="F85" s="254"/>
      <c r="G85" s="255" t="s">
        <v>721</v>
      </c>
    </row>
    <row r="86" spans="1:7" x14ac:dyDescent="0.2">
      <c r="A86" s="264"/>
      <c r="B86" s="264"/>
      <c r="C86" s="264"/>
    </row>
    <row r="87" spans="1:7" x14ac:dyDescent="0.2">
      <c r="A87" s="264"/>
      <c r="B87" s="264"/>
      <c r="C87" s="264"/>
    </row>
    <row r="88" spans="1:7" x14ac:dyDescent="0.2">
      <c r="A88" s="264"/>
      <c r="B88" s="264"/>
      <c r="C88" s="264"/>
    </row>
    <row r="89" spans="1:7" x14ac:dyDescent="0.2">
      <c r="A89" s="264"/>
      <c r="B89" s="264"/>
      <c r="C89" s="264"/>
    </row>
    <row r="90" spans="1:7" x14ac:dyDescent="0.2">
      <c r="A90" s="196" t="s">
        <v>573</v>
      </c>
      <c r="B90" s="196"/>
      <c r="C90" s="264"/>
    </row>
    <row r="91" spans="1:7" ht="12.75" x14ac:dyDescent="0.2">
      <c r="A91" s="264" t="s">
        <v>1166</v>
      </c>
      <c r="B91" s="264" t="s">
        <v>535</v>
      </c>
      <c r="C91" s="264" t="s">
        <v>460</v>
      </c>
      <c r="D91" s="256"/>
      <c r="E91" s="256"/>
      <c r="F91" s="256"/>
      <c r="G91" s="256"/>
    </row>
    <row r="92" spans="1:7" ht="12.75" x14ac:dyDescent="0.2">
      <c r="A92" s="264" t="s">
        <v>411</v>
      </c>
      <c r="B92" s="264" t="s">
        <v>535</v>
      </c>
      <c r="C92" s="264" t="s">
        <v>461</v>
      </c>
      <c r="D92" s="256"/>
      <c r="E92" s="256"/>
      <c r="F92" s="256"/>
      <c r="G92" s="256"/>
    </row>
    <row r="93" spans="1:7" ht="12.75" x14ac:dyDescent="0.2">
      <c r="A93" s="264" t="s">
        <v>362</v>
      </c>
      <c r="B93" s="264" t="s">
        <v>535</v>
      </c>
      <c r="C93" s="264" t="s">
        <v>1167</v>
      </c>
      <c r="D93" s="256"/>
      <c r="E93" s="256"/>
      <c r="F93" s="256"/>
      <c r="G93" s="264" t="s">
        <v>463</v>
      </c>
    </row>
    <row r="94" spans="1:7" ht="12.75" x14ac:dyDescent="0.2">
      <c r="A94" s="264" t="s">
        <v>386</v>
      </c>
      <c r="B94" s="264" t="s">
        <v>535</v>
      </c>
      <c r="C94" s="264" t="s">
        <v>464</v>
      </c>
      <c r="D94" s="256"/>
      <c r="E94" s="256"/>
      <c r="F94" s="256"/>
      <c r="G94" s="264" t="s">
        <v>465</v>
      </c>
    </row>
    <row r="95" spans="1:7" ht="12.75" x14ac:dyDescent="0.2">
      <c r="A95" s="264" t="s">
        <v>714</v>
      </c>
      <c r="B95" s="264" t="s">
        <v>535</v>
      </c>
      <c r="C95" s="256"/>
      <c r="D95" s="256"/>
      <c r="E95" s="256"/>
      <c r="F95" s="256"/>
      <c r="G95" s="256"/>
    </row>
    <row r="96" spans="1:7" ht="12.75" x14ac:dyDescent="0.2">
      <c r="A96" s="264" t="s">
        <v>328</v>
      </c>
      <c r="B96" s="264" t="s">
        <v>535</v>
      </c>
      <c r="C96" s="256"/>
      <c r="D96" s="256"/>
      <c r="E96" s="256"/>
      <c r="F96" s="256"/>
      <c r="G96" s="264" t="s">
        <v>462</v>
      </c>
    </row>
    <row r="97" spans="1:7" ht="12.75" x14ac:dyDescent="0.2">
      <c r="A97" s="264" t="s">
        <v>547</v>
      </c>
      <c r="B97" s="264" t="s">
        <v>535</v>
      </c>
      <c r="C97" s="256"/>
      <c r="D97" s="256"/>
      <c r="E97" s="256"/>
      <c r="F97" s="256"/>
      <c r="G97" s="264" t="s">
        <v>546</v>
      </c>
    </row>
    <row r="99" spans="1:7" x14ac:dyDescent="0.2">
      <c r="A99" s="218"/>
      <c r="B99" s="196"/>
    </row>
    <row r="101" spans="1:7" x14ac:dyDescent="0.2">
      <c r="A101" s="118"/>
      <c r="B101" s="185"/>
      <c r="C101" s="185"/>
      <c r="D101" s="185"/>
      <c r="E101" s="185"/>
      <c r="F101" s="185"/>
      <c r="G101" s="185"/>
    </row>
    <row r="102" spans="1:7" x14ac:dyDescent="0.2">
      <c r="A102" s="219"/>
      <c r="B102" s="197"/>
      <c r="C102" s="197"/>
      <c r="D102" s="197"/>
      <c r="E102" s="197"/>
      <c r="F102" s="197"/>
      <c r="G102" s="197"/>
    </row>
    <row r="103" spans="1:7" x14ac:dyDescent="0.2">
      <c r="A103" s="218" t="s">
        <v>453</v>
      </c>
      <c r="B103" s="196"/>
    </row>
    <row r="104" spans="1:7" x14ac:dyDescent="0.2">
      <c r="A104" s="265" t="s">
        <v>269</v>
      </c>
    </row>
    <row r="105" spans="1:7" s="264" customFormat="1" x14ac:dyDescent="0.2">
      <c r="A105" s="265" t="s">
        <v>759</v>
      </c>
    </row>
    <row r="106" spans="1:7" s="264" customFormat="1" x14ac:dyDescent="0.2">
      <c r="A106" s="265" t="s">
        <v>451</v>
      </c>
    </row>
    <row r="107" spans="1:7" x14ac:dyDescent="0.2">
      <c r="A107" s="198" t="s">
        <v>452</v>
      </c>
    </row>
    <row r="109" spans="1:7" x14ac:dyDescent="0.2">
      <c r="A109" s="218" t="s">
        <v>636</v>
      </c>
      <c r="B109" s="196"/>
    </row>
    <row r="110" spans="1:7" x14ac:dyDescent="0.2">
      <c r="A110" s="198" t="s">
        <v>269</v>
      </c>
      <c r="B110" s="196"/>
    </row>
    <row r="111" spans="1:7" x14ac:dyDescent="0.2">
      <c r="A111" s="198" t="s">
        <v>637</v>
      </c>
    </row>
    <row r="113" spans="1:3" x14ac:dyDescent="0.2">
      <c r="A113" s="218" t="s">
        <v>454</v>
      </c>
      <c r="B113" s="196"/>
    </row>
    <row r="114" spans="1:3" x14ac:dyDescent="0.2">
      <c r="A114" s="198" t="s">
        <v>947</v>
      </c>
    </row>
    <row r="115" spans="1:3" s="264" customFormat="1" x14ac:dyDescent="0.2">
      <c r="A115" s="265" t="s">
        <v>725</v>
      </c>
    </row>
    <row r="116" spans="1:3" x14ac:dyDescent="0.2">
      <c r="A116" s="198" t="s">
        <v>726</v>
      </c>
    </row>
    <row r="117" spans="1:3" x14ac:dyDescent="0.2">
      <c r="A117" s="198" t="s">
        <v>727</v>
      </c>
    </row>
    <row r="118" spans="1:3" s="264" customFormat="1" x14ac:dyDescent="0.2">
      <c r="A118" s="265" t="s">
        <v>728</v>
      </c>
    </row>
    <row r="119" spans="1:3" s="264" customFormat="1" x14ac:dyDescent="0.2">
      <c r="A119" s="265" t="s">
        <v>730</v>
      </c>
      <c r="C119" s="264" t="s">
        <v>731</v>
      </c>
    </row>
    <row r="120" spans="1:3" s="264" customFormat="1" x14ac:dyDescent="0.2">
      <c r="A120" s="265" t="s">
        <v>729</v>
      </c>
      <c r="C120" s="264" t="s">
        <v>732</v>
      </c>
    </row>
    <row r="121" spans="1:3" x14ac:dyDescent="0.2">
      <c r="C121" s="194" t="s">
        <v>733</v>
      </c>
    </row>
    <row r="123" spans="1:3" x14ac:dyDescent="0.2">
      <c r="A123" s="218" t="s">
        <v>455</v>
      </c>
      <c r="B123" s="196"/>
    </row>
    <row r="124" spans="1:3" x14ac:dyDescent="0.2">
      <c r="A124" s="198" t="s">
        <v>408</v>
      </c>
    </row>
    <row r="125" spans="1:3" x14ac:dyDescent="0.2">
      <c r="A125" s="198" t="s">
        <v>584</v>
      </c>
    </row>
    <row r="126" spans="1:3" x14ac:dyDescent="0.2">
      <c r="A126" s="198" t="s">
        <v>713</v>
      </c>
    </row>
    <row r="127" spans="1:3" x14ac:dyDescent="0.2">
      <c r="A127" s="198" t="s">
        <v>719</v>
      </c>
    </row>
    <row r="128" spans="1:3" s="264" customFormat="1" x14ac:dyDescent="0.2">
      <c r="A128" s="265" t="s">
        <v>720</v>
      </c>
    </row>
    <row r="129" spans="1:2" s="264" customFormat="1" x14ac:dyDescent="0.2">
      <c r="A129" s="265" t="s">
        <v>761</v>
      </c>
    </row>
    <row r="130" spans="1:2" s="264" customFormat="1" x14ac:dyDescent="0.2">
      <c r="A130" s="265" t="s">
        <v>974</v>
      </c>
    </row>
    <row r="131" spans="1:2" s="264" customFormat="1" x14ac:dyDescent="0.2">
      <c r="A131" s="265" t="s">
        <v>911</v>
      </c>
    </row>
    <row r="133" spans="1:2" x14ac:dyDescent="0.2">
      <c r="A133" s="218" t="s">
        <v>900</v>
      </c>
      <c r="B133" s="196"/>
    </row>
    <row r="134" spans="1:2" x14ac:dyDescent="0.2">
      <c r="A134" s="198" t="s">
        <v>585</v>
      </c>
    </row>
    <row r="135" spans="1:2" s="264" customFormat="1" x14ac:dyDescent="0.2">
      <c r="A135" s="265" t="s">
        <v>586</v>
      </c>
    </row>
    <row r="136" spans="1:2" s="264" customFormat="1" x14ac:dyDescent="0.2">
      <c r="A136" s="296" t="s">
        <v>960</v>
      </c>
    </row>
    <row r="137" spans="1:2" x14ac:dyDescent="0.2">
      <c r="A137" s="277" t="s">
        <v>910</v>
      </c>
    </row>
    <row r="139" spans="1:2" x14ac:dyDescent="0.2">
      <c r="A139" s="218" t="s">
        <v>909</v>
      </c>
      <c r="B139" s="196"/>
    </row>
    <row r="140" spans="1:2" x14ac:dyDescent="0.2">
      <c r="A140" s="198" t="s">
        <v>591</v>
      </c>
      <c r="B140" s="196"/>
    </row>
    <row r="141" spans="1:2" s="264" customFormat="1" x14ac:dyDescent="0.2">
      <c r="A141" s="265" t="s">
        <v>592</v>
      </c>
      <c r="B141" s="264" t="s">
        <v>901</v>
      </c>
    </row>
    <row r="142" spans="1:2" s="264" customFormat="1" x14ac:dyDescent="0.2">
      <c r="A142" s="265" t="s">
        <v>593</v>
      </c>
      <c r="B142" s="264" t="s">
        <v>901</v>
      </c>
    </row>
    <row r="143" spans="1:2" s="264" customFormat="1" x14ac:dyDescent="0.2">
      <c r="A143" s="265" t="s">
        <v>594</v>
      </c>
      <c r="B143" s="264" t="s">
        <v>901</v>
      </c>
    </row>
    <row r="144" spans="1:2" s="264" customFormat="1" x14ac:dyDescent="0.2">
      <c r="A144" s="265" t="s">
        <v>595</v>
      </c>
      <c r="B144" s="264" t="s">
        <v>901</v>
      </c>
    </row>
    <row r="145" spans="1:2" s="264" customFormat="1" x14ac:dyDescent="0.2">
      <c r="A145" s="265" t="s">
        <v>596</v>
      </c>
      <c r="B145" s="264" t="s">
        <v>901</v>
      </c>
    </row>
    <row r="146" spans="1:2" s="264" customFormat="1" x14ac:dyDescent="0.2">
      <c r="A146" s="265" t="s">
        <v>912</v>
      </c>
      <c r="B146" s="264" t="s">
        <v>902</v>
      </c>
    </row>
    <row r="147" spans="1:2" s="264" customFormat="1" x14ac:dyDescent="0.2">
      <c r="A147" s="265" t="s">
        <v>913</v>
      </c>
      <c r="B147" s="264" t="s">
        <v>902</v>
      </c>
    </row>
    <row r="148" spans="1:2" s="264" customFormat="1" x14ac:dyDescent="0.2">
      <c r="A148" s="265" t="s">
        <v>914</v>
      </c>
      <c r="B148" s="264" t="s">
        <v>902</v>
      </c>
    </row>
    <row r="149" spans="1:2" s="264" customFormat="1" x14ac:dyDescent="0.2">
      <c r="A149" s="265" t="s">
        <v>915</v>
      </c>
      <c r="B149" s="264" t="s">
        <v>902</v>
      </c>
    </row>
    <row r="150" spans="1:2" s="264" customFormat="1" x14ac:dyDescent="0.2">
      <c r="A150" s="265" t="s">
        <v>916</v>
      </c>
      <c r="B150" s="264" t="s">
        <v>902</v>
      </c>
    </row>
    <row r="151" spans="1:2" x14ac:dyDescent="0.2">
      <c r="A151" s="198" t="s">
        <v>948</v>
      </c>
      <c r="B151" s="194" t="s">
        <v>902</v>
      </c>
    </row>
    <row r="152" spans="1:2" x14ac:dyDescent="0.2">
      <c r="A152" s="198" t="s">
        <v>949</v>
      </c>
      <c r="B152" s="264" t="s">
        <v>902</v>
      </c>
    </row>
    <row r="153" spans="1:2" x14ac:dyDescent="0.2">
      <c r="A153" s="198" t="s">
        <v>950</v>
      </c>
      <c r="B153" s="264" t="s">
        <v>902</v>
      </c>
    </row>
    <row r="154" spans="1:2" x14ac:dyDescent="0.2">
      <c r="A154" s="198" t="s">
        <v>951</v>
      </c>
      <c r="B154" s="264" t="s">
        <v>902</v>
      </c>
    </row>
    <row r="155" spans="1:2" x14ac:dyDescent="0.2">
      <c r="A155" s="198" t="s">
        <v>952</v>
      </c>
      <c r="B155" s="264" t="s">
        <v>902</v>
      </c>
    </row>
    <row r="157" spans="1:2" x14ac:dyDescent="0.2">
      <c r="A157" s="218" t="s">
        <v>588</v>
      </c>
      <c r="B157" s="196"/>
    </row>
    <row r="158" spans="1:2" x14ac:dyDescent="0.2">
      <c r="A158" s="198" t="s">
        <v>597</v>
      </c>
      <c r="B158" s="196"/>
    </row>
    <row r="159" spans="1:2" s="264" customFormat="1" x14ac:dyDescent="0.2">
      <c r="A159" s="265" t="s">
        <v>598</v>
      </c>
      <c r="B159" s="264" t="s">
        <v>901</v>
      </c>
    </row>
    <row r="160" spans="1:2" s="264" customFormat="1" x14ac:dyDescent="0.2">
      <c r="A160" s="265" t="s">
        <v>599</v>
      </c>
      <c r="B160" s="264" t="s">
        <v>901</v>
      </c>
    </row>
    <row r="161" spans="1:2" s="264" customFormat="1" x14ac:dyDescent="0.2">
      <c r="A161" s="265" t="s">
        <v>600</v>
      </c>
      <c r="B161" s="264" t="s">
        <v>901</v>
      </c>
    </row>
    <row r="162" spans="1:2" s="264" customFormat="1" x14ac:dyDescent="0.2">
      <c r="A162" s="265" t="s">
        <v>601</v>
      </c>
      <c r="B162" s="264" t="s">
        <v>901</v>
      </c>
    </row>
    <row r="163" spans="1:2" s="264" customFormat="1" x14ac:dyDescent="0.2">
      <c r="A163" s="265" t="s">
        <v>602</v>
      </c>
      <c r="B163" s="264" t="s">
        <v>901</v>
      </c>
    </row>
    <row r="164" spans="1:2" s="264" customFormat="1" x14ac:dyDescent="0.2">
      <c r="A164" s="265" t="s">
        <v>903</v>
      </c>
      <c r="B164" s="264" t="s">
        <v>902</v>
      </c>
    </row>
    <row r="165" spans="1:2" s="264" customFormat="1" x14ac:dyDescent="0.2">
      <c r="A165" s="265" t="s">
        <v>904</v>
      </c>
      <c r="B165" s="264" t="s">
        <v>902</v>
      </c>
    </row>
    <row r="166" spans="1:2" s="264" customFormat="1" x14ac:dyDescent="0.2">
      <c r="A166" s="265" t="s">
        <v>905</v>
      </c>
      <c r="B166" s="264" t="s">
        <v>902</v>
      </c>
    </row>
    <row r="167" spans="1:2" s="264" customFormat="1" x14ac:dyDescent="0.2">
      <c r="A167" s="265" t="s">
        <v>906</v>
      </c>
      <c r="B167" s="264" t="s">
        <v>902</v>
      </c>
    </row>
    <row r="168" spans="1:2" s="264" customFormat="1" x14ac:dyDescent="0.2">
      <c r="A168" s="265" t="s">
        <v>907</v>
      </c>
      <c r="B168" s="264" t="s">
        <v>902</v>
      </c>
    </row>
    <row r="169" spans="1:2" x14ac:dyDescent="0.2">
      <c r="A169" s="198" t="s">
        <v>953</v>
      </c>
      <c r="B169" s="264" t="s">
        <v>902</v>
      </c>
    </row>
    <row r="170" spans="1:2" x14ac:dyDescent="0.2">
      <c r="A170" s="198" t="s">
        <v>954</v>
      </c>
      <c r="B170" s="264" t="s">
        <v>902</v>
      </c>
    </row>
    <row r="171" spans="1:2" x14ac:dyDescent="0.2">
      <c r="A171" s="198" t="s">
        <v>955</v>
      </c>
      <c r="B171" s="264" t="s">
        <v>902</v>
      </c>
    </row>
    <row r="172" spans="1:2" x14ac:dyDescent="0.2">
      <c r="A172" s="198" t="s">
        <v>956</v>
      </c>
      <c r="B172" s="264" t="s">
        <v>902</v>
      </c>
    </row>
    <row r="173" spans="1:2" x14ac:dyDescent="0.2">
      <c r="A173" s="198" t="s">
        <v>957</v>
      </c>
      <c r="B173" s="264" t="s">
        <v>902</v>
      </c>
    </row>
    <row r="175" spans="1:2" x14ac:dyDescent="0.2">
      <c r="A175" s="218" t="s">
        <v>589</v>
      </c>
      <c r="B175" s="196"/>
    </row>
    <row r="176" spans="1:2" x14ac:dyDescent="0.2">
      <c r="A176" s="198" t="s">
        <v>603</v>
      </c>
      <c r="B176" s="196"/>
    </row>
    <row r="177" spans="1:2" s="264" customFormat="1" x14ac:dyDescent="0.2">
      <c r="A177" s="265" t="s">
        <v>604</v>
      </c>
      <c r="B177" s="264" t="s">
        <v>901</v>
      </c>
    </row>
    <row r="178" spans="1:2" s="264" customFormat="1" x14ac:dyDescent="0.2">
      <c r="A178" s="265" t="s">
        <v>605</v>
      </c>
      <c r="B178" s="264" t="s">
        <v>901</v>
      </c>
    </row>
    <row r="179" spans="1:2" s="264" customFormat="1" x14ac:dyDescent="0.2">
      <c r="A179" s="265" t="s">
        <v>606</v>
      </c>
      <c r="B179" s="264" t="s">
        <v>901</v>
      </c>
    </row>
    <row r="180" spans="1:2" s="264" customFormat="1" x14ac:dyDescent="0.2">
      <c r="A180" s="265" t="s">
        <v>607</v>
      </c>
      <c r="B180" s="264" t="s">
        <v>901</v>
      </c>
    </row>
    <row r="181" spans="1:2" s="264" customFormat="1" x14ac:dyDescent="0.2">
      <c r="A181" s="265" t="s">
        <v>608</v>
      </c>
      <c r="B181" s="264" t="s">
        <v>901</v>
      </c>
    </row>
    <row r="182" spans="1:2" x14ac:dyDescent="0.2">
      <c r="A182" s="198" t="s">
        <v>604</v>
      </c>
      <c r="B182" s="264" t="s">
        <v>902</v>
      </c>
    </row>
    <row r="183" spans="1:2" x14ac:dyDescent="0.2">
      <c r="A183" s="198" t="s">
        <v>605</v>
      </c>
      <c r="B183" s="264" t="s">
        <v>902</v>
      </c>
    </row>
    <row r="184" spans="1:2" x14ac:dyDescent="0.2">
      <c r="A184" s="198" t="s">
        <v>606</v>
      </c>
      <c r="B184" s="264" t="s">
        <v>902</v>
      </c>
    </row>
    <row r="185" spans="1:2" x14ac:dyDescent="0.2">
      <c r="A185" s="198" t="s">
        <v>607</v>
      </c>
      <c r="B185" s="264" t="s">
        <v>902</v>
      </c>
    </row>
    <row r="186" spans="1:2" x14ac:dyDescent="0.2">
      <c r="A186" s="198" t="s">
        <v>608</v>
      </c>
      <c r="B186" s="264" t="s">
        <v>902</v>
      </c>
    </row>
    <row r="188" spans="1:2" x14ac:dyDescent="0.2">
      <c r="A188" s="218" t="s">
        <v>611</v>
      </c>
      <c r="B188" s="196"/>
    </row>
    <row r="189" spans="1:2" s="264" customFormat="1" x14ac:dyDescent="0.2">
      <c r="A189" s="265" t="s">
        <v>908</v>
      </c>
      <c r="B189" s="264" t="s">
        <v>902</v>
      </c>
    </row>
    <row r="190" spans="1:2" x14ac:dyDescent="0.2">
      <c r="A190" s="265" t="s">
        <v>958</v>
      </c>
      <c r="B190" s="264" t="s">
        <v>902</v>
      </c>
    </row>
    <row r="191" spans="1:2" x14ac:dyDescent="0.2">
      <c r="A191" s="265"/>
      <c r="B191" s="264"/>
    </row>
    <row r="197" spans="1:2" x14ac:dyDescent="0.2">
      <c r="A197" s="218" t="s">
        <v>612</v>
      </c>
      <c r="B197" s="196"/>
    </row>
    <row r="198" spans="1:2" x14ac:dyDescent="0.2">
      <c r="A198" s="198" t="s">
        <v>609</v>
      </c>
    </row>
    <row r="199" spans="1:2" x14ac:dyDescent="0.2">
      <c r="A199" s="198" t="s">
        <v>610</v>
      </c>
    </row>
    <row r="200" spans="1:2" x14ac:dyDescent="0.2">
      <c r="A200" s="198" t="s">
        <v>715</v>
      </c>
    </row>
    <row r="201" spans="1:2" x14ac:dyDescent="0.2">
      <c r="A201" s="198" t="s">
        <v>716</v>
      </c>
    </row>
    <row r="205" spans="1:2" x14ac:dyDescent="0.2">
      <c r="A205" s="218" t="s">
        <v>457</v>
      </c>
      <c r="B205" s="196"/>
    </row>
    <row r="206" spans="1:2" x14ac:dyDescent="0.2">
      <c r="A206" s="198" t="s">
        <v>642</v>
      </c>
    </row>
    <row r="207" spans="1:2" x14ac:dyDescent="0.2">
      <c r="A207" s="198" t="s">
        <v>643</v>
      </c>
    </row>
    <row r="208" spans="1:2" x14ac:dyDescent="0.2">
      <c r="A208" s="198" t="s">
        <v>644</v>
      </c>
    </row>
    <row r="209" spans="1:2" x14ac:dyDescent="0.2">
      <c r="A209" s="198" t="s">
        <v>645</v>
      </c>
    </row>
    <row r="210" spans="1:2" x14ac:dyDescent="0.2">
      <c r="A210" s="198" t="s">
        <v>646</v>
      </c>
    </row>
    <row r="212" spans="1:2" x14ac:dyDescent="0.2">
      <c r="A212" s="218" t="s">
        <v>458</v>
      </c>
      <c r="B212" s="196"/>
    </row>
    <row r="213" spans="1:2" x14ac:dyDescent="0.2">
      <c r="A213" s="198" t="s">
        <v>590</v>
      </c>
    </row>
    <row r="214" spans="1:2" x14ac:dyDescent="0.2">
      <c r="A214" s="198" t="s">
        <v>587</v>
      </c>
    </row>
    <row r="216" spans="1:2" x14ac:dyDescent="0.2">
      <c r="A216" s="218" t="s">
        <v>614</v>
      </c>
      <c r="B216" s="196"/>
    </row>
    <row r="217" spans="1:2" x14ac:dyDescent="0.2">
      <c r="A217" s="198" t="s">
        <v>615</v>
      </c>
    </row>
    <row r="218" spans="1:2" x14ac:dyDescent="0.2">
      <c r="A218" s="198" t="s">
        <v>617</v>
      </c>
    </row>
    <row r="219" spans="1:2" x14ac:dyDescent="0.2">
      <c r="A219" s="198" t="s">
        <v>616</v>
      </c>
    </row>
    <row r="220" spans="1:2" x14ac:dyDescent="0.2">
      <c r="A220" s="198" t="s">
        <v>618</v>
      </c>
    </row>
    <row r="221" spans="1:2" x14ac:dyDescent="0.2">
      <c r="A221" s="198" t="s">
        <v>619</v>
      </c>
    </row>
    <row r="226" spans="1:2" x14ac:dyDescent="0.2">
      <c r="A226" s="218" t="s">
        <v>456</v>
      </c>
    </row>
    <row r="227" spans="1:2" x14ac:dyDescent="0.2">
      <c r="A227" s="198" t="s">
        <v>363</v>
      </c>
      <c r="B227" s="194" t="s">
        <v>54</v>
      </c>
    </row>
    <row r="228" spans="1:2" x14ac:dyDescent="0.2">
      <c r="A228" s="198" t="s">
        <v>409</v>
      </c>
      <c r="B228" s="194" t="s">
        <v>410</v>
      </c>
    </row>
    <row r="229" spans="1:2" s="264" customFormat="1" x14ac:dyDescent="0.2">
      <c r="A229" s="265" t="s">
        <v>722</v>
      </c>
      <c r="B229" s="264" t="s">
        <v>54</v>
      </c>
    </row>
    <row r="232" spans="1:2" x14ac:dyDescent="0.2">
      <c r="A232" s="218" t="s">
        <v>613</v>
      </c>
    </row>
    <row r="233" spans="1:2" x14ac:dyDescent="0.2">
      <c r="A233" s="198" t="s">
        <v>647</v>
      </c>
    </row>
    <row r="234" spans="1:2" x14ac:dyDescent="0.2">
      <c r="A234" s="198" t="s">
        <v>648</v>
      </c>
    </row>
    <row r="236" spans="1:2" x14ac:dyDescent="0.2">
      <c r="A236" s="218" t="s">
        <v>689</v>
      </c>
    </row>
    <row r="237" spans="1:2" x14ac:dyDescent="0.2">
      <c r="A237" s="220" t="s">
        <v>690</v>
      </c>
    </row>
    <row r="238" spans="1:2" x14ac:dyDescent="0.2">
      <c r="A238" s="221" t="s">
        <v>387</v>
      </c>
    </row>
    <row r="241" spans="1:1" x14ac:dyDescent="0.2">
      <c r="A241" s="218" t="s">
        <v>630</v>
      </c>
    </row>
    <row r="242" spans="1:1" x14ac:dyDescent="0.2">
      <c r="A242" s="198" t="s">
        <v>325</v>
      </c>
    </row>
    <row r="243" spans="1:1" x14ac:dyDescent="0.2">
      <c r="A243" s="198" t="s">
        <v>414</v>
      </c>
    </row>
    <row r="244" spans="1:1" x14ac:dyDescent="0.2">
      <c r="A244" s="198" t="s">
        <v>415</v>
      </c>
    </row>
    <row r="245" spans="1:1" x14ac:dyDescent="0.2">
      <c r="A245" s="198" t="s">
        <v>416</v>
      </c>
    </row>
    <row r="246" spans="1:1" x14ac:dyDescent="0.2">
      <c r="A246" s="198" t="s">
        <v>417</v>
      </c>
    </row>
    <row r="247" spans="1:1" x14ac:dyDescent="0.2">
      <c r="A247" s="198" t="s">
        <v>418</v>
      </c>
    </row>
    <row r="248" spans="1:1" x14ac:dyDescent="0.2">
      <c r="A248" s="198" t="s">
        <v>419</v>
      </c>
    </row>
    <row r="249" spans="1:1" x14ac:dyDescent="0.2">
      <c r="A249" s="198" t="s">
        <v>420</v>
      </c>
    </row>
    <row r="250" spans="1:1" x14ac:dyDescent="0.2">
      <c r="A250" s="198" t="s">
        <v>421</v>
      </c>
    </row>
    <row r="251" spans="1:1" x14ac:dyDescent="0.2">
      <c r="A251" s="198" t="s">
        <v>430</v>
      </c>
    </row>
    <row r="252" spans="1:1" x14ac:dyDescent="0.2">
      <c r="A252" s="198" t="s">
        <v>413</v>
      </c>
    </row>
    <row r="253" spans="1:1" x14ac:dyDescent="0.2">
      <c r="A253" s="198" t="s">
        <v>422</v>
      </c>
    </row>
    <row r="254" spans="1:1" x14ac:dyDescent="0.2">
      <c r="A254" s="198" t="s">
        <v>385</v>
      </c>
    </row>
    <row r="255" spans="1:1" x14ac:dyDescent="0.2">
      <c r="A255" s="198" t="s">
        <v>423</v>
      </c>
    </row>
    <row r="256" spans="1:1" x14ac:dyDescent="0.2">
      <c r="A256" s="198" t="s">
        <v>424</v>
      </c>
    </row>
    <row r="257" spans="1:1" x14ac:dyDescent="0.2">
      <c r="A257" s="198" t="s">
        <v>425</v>
      </c>
    </row>
    <row r="258" spans="1:1" x14ac:dyDescent="0.2">
      <c r="A258" s="198" t="s">
        <v>426</v>
      </c>
    </row>
    <row r="259" spans="1:1" x14ac:dyDescent="0.2">
      <c r="A259" s="198" t="s">
        <v>427</v>
      </c>
    </row>
    <row r="260" spans="1:1" x14ac:dyDescent="0.2">
      <c r="A260" s="198" t="s">
        <v>428</v>
      </c>
    </row>
    <row r="261" spans="1:1" x14ac:dyDescent="0.2">
      <c r="A261" s="198" t="s">
        <v>429</v>
      </c>
    </row>
    <row r="262" spans="1:1" x14ac:dyDescent="0.2">
      <c r="A262" s="198" t="s">
        <v>431</v>
      </c>
    </row>
    <row r="263" spans="1:1" x14ac:dyDescent="0.2">
      <c r="A263" s="198" t="s">
        <v>432</v>
      </c>
    </row>
    <row r="264" spans="1:1" x14ac:dyDescent="0.2">
      <c r="A264" s="198" t="s">
        <v>433</v>
      </c>
    </row>
    <row r="265" spans="1:1" x14ac:dyDescent="0.2">
      <c r="A265" s="198" t="s">
        <v>434</v>
      </c>
    </row>
    <row r="266" spans="1:1" x14ac:dyDescent="0.2">
      <c r="A266" s="198" t="s">
        <v>435</v>
      </c>
    </row>
    <row r="267" spans="1:1" x14ac:dyDescent="0.2">
      <c r="A267" s="198" t="s">
        <v>436</v>
      </c>
    </row>
    <row r="268" spans="1:1" x14ac:dyDescent="0.2">
      <c r="A268" s="198" t="s">
        <v>437</v>
      </c>
    </row>
    <row r="269" spans="1:1" x14ac:dyDescent="0.2">
      <c r="A269" s="198" t="s">
        <v>438</v>
      </c>
    </row>
    <row r="270" spans="1:1" x14ac:dyDescent="0.2">
      <c r="A270" s="198" t="s">
        <v>439</v>
      </c>
    </row>
    <row r="271" spans="1:1" x14ac:dyDescent="0.2">
      <c r="A271" s="198" t="s">
        <v>440</v>
      </c>
    </row>
    <row r="272" spans="1:1" x14ac:dyDescent="0.2">
      <c r="A272" s="198" t="s">
        <v>694</v>
      </c>
    </row>
    <row r="273" spans="1:1" x14ac:dyDescent="0.2">
      <c r="A273" s="198" t="s">
        <v>695</v>
      </c>
    </row>
    <row r="274" spans="1:1" x14ac:dyDescent="0.2">
      <c r="A274" s="198" t="s">
        <v>696</v>
      </c>
    </row>
    <row r="275" spans="1:1" x14ac:dyDescent="0.2">
      <c r="A275" s="198" t="s">
        <v>697</v>
      </c>
    </row>
    <row r="276" spans="1:1" x14ac:dyDescent="0.2">
      <c r="A276" s="198" t="s">
        <v>698</v>
      </c>
    </row>
    <row r="277" spans="1:1" x14ac:dyDescent="0.2">
      <c r="A277" s="198" t="s">
        <v>699</v>
      </c>
    </row>
    <row r="278" spans="1:1" x14ac:dyDescent="0.2">
      <c r="A278" s="198" t="s">
        <v>700</v>
      </c>
    </row>
    <row r="279" spans="1:1" x14ac:dyDescent="0.2">
      <c r="A279" s="198" t="s">
        <v>701</v>
      </c>
    </row>
    <row r="280" spans="1:1" x14ac:dyDescent="0.2">
      <c r="A280" s="198" t="s">
        <v>702</v>
      </c>
    </row>
    <row r="281" spans="1:1" x14ac:dyDescent="0.2">
      <c r="A281" s="198" t="s">
        <v>703</v>
      </c>
    </row>
    <row r="282" spans="1:1" x14ac:dyDescent="0.2">
      <c r="A282" s="198" t="s">
        <v>620</v>
      </c>
    </row>
    <row r="283" spans="1:1" x14ac:dyDescent="0.2">
      <c r="A283" s="198" t="s">
        <v>621</v>
      </c>
    </row>
    <row r="284" spans="1:1" x14ac:dyDescent="0.2">
      <c r="A284" s="198" t="s">
        <v>622</v>
      </c>
    </row>
    <row r="285" spans="1:1" x14ac:dyDescent="0.2">
      <c r="A285" s="198" t="s">
        <v>623</v>
      </c>
    </row>
    <row r="286" spans="1:1" x14ac:dyDescent="0.2">
      <c r="A286" s="198" t="s">
        <v>624</v>
      </c>
    </row>
    <row r="287" spans="1:1" x14ac:dyDescent="0.2">
      <c r="A287" s="198" t="s">
        <v>625</v>
      </c>
    </row>
    <row r="288" spans="1:1" x14ac:dyDescent="0.2">
      <c r="A288" s="198" t="s">
        <v>626</v>
      </c>
    </row>
    <row r="289" spans="1:1" x14ac:dyDescent="0.2">
      <c r="A289" s="198" t="s">
        <v>627</v>
      </c>
    </row>
    <row r="290" spans="1:1" x14ac:dyDescent="0.2">
      <c r="A290" s="198" t="s">
        <v>628</v>
      </c>
    </row>
    <row r="291" spans="1:1" x14ac:dyDescent="0.2">
      <c r="A291" s="198" t="s">
        <v>629</v>
      </c>
    </row>
    <row r="292" spans="1:1" s="264" customFormat="1" x14ac:dyDescent="0.2">
      <c r="A292" s="265" t="s">
        <v>441</v>
      </c>
    </row>
    <row r="293" spans="1:1" s="264" customFormat="1" x14ac:dyDescent="0.2">
      <c r="A293" s="265" t="s">
        <v>442</v>
      </c>
    </row>
    <row r="294" spans="1:1" s="264" customFormat="1" x14ac:dyDescent="0.2">
      <c r="A294" s="265" t="s">
        <v>443</v>
      </c>
    </row>
    <row r="295" spans="1:1" s="264" customFormat="1" x14ac:dyDescent="0.2">
      <c r="A295" s="265" t="s">
        <v>444</v>
      </c>
    </row>
    <row r="296" spans="1:1" s="264" customFormat="1" x14ac:dyDescent="0.2">
      <c r="A296" s="265" t="s">
        <v>445</v>
      </c>
    </row>
    <row r="297" spans="1:1" s="264" customFormat="1" x14ac:dyDescent="0.2">
      <c r="A297" s="265" t="s">
        <v>446</v>
      </c>
    </row>
    <row r="298" spans="1:1" s="264" customFormat="1" x14ac:dyDescent="0.2">
      <c r="A298" s="265" t="s">
        <v>447</v>
      </c>
    </row>
    <row r="299" spans="1:1" s="264" customFormat="1" x14ac:dyDescent="0.2">
      <c r="A299" s="265" t="s">
        <v>448</v>
      </c>
    </row>
    <row r="300" spans="1:1" s="264" customFormat="1" x14ac:dyDescent="0.2">
      <c r="A300" s="265" t="s">
        <v>449</v>
      </c>
    </row>
    <row r="301" spans="1:1" s="264" customFormat="1" x14ac:dyDescent="0.2">
      <c r="A301" s="265" t="s">
        <v>450</v>
      </c>
    </row>
    <row r="302" spans="1:1" x14ac:dyDescent="0.2">
      <c r="A302" s="265" t="s">
        <v>736</v>
      </c>
    </row>
    <row r="303" spans="1:1" x14ac:dyDescent="0.2">
      <c r="A303" s="265" t="s">
        <v>737</v>
      </c>
    </row>
    <row r="304" spans="1:1" x14ac:dyDescent="0.2">
      <c r="A304" s="265" t="s">
        <v>738</v>
      </c>
    </row>
    <row r="305" spans="1:1" x14ac:dyDescent="0.2">
      <c r="A305" s="265" t="s">
        <v>739</v>
      </c>
    </row>
    <row r="306" spans="1:1" x14ac:dyDescent="0.2">
      <c r="A306" s="265" t="s">
        <v>740</v>
      </c>
    </row>
    <row r="307" spans="1:1" x14ac:dyDescent="0.2">
      <c r="A307" s="265" t="s">
        <v>741</v>
      </c>
    </row>
    <row r="308" spans="1:1" x14ac:dyDescent="0.2">
      <c r="A308" s="265" t="s">
        <v>742</v>
      </c>
    </row>
    <row r="309" spans="1:1" x14ac:dyDescent="0.2">
      <c r="A309" s="265" t="s">
        <v>743</v>
      </c>
    </row>
    <row r="310" spans="1:1" x14ac:dyDescent="0.2">
      <c r="A310" s="265" t="s">
        <v>744</v>
      </c>
    </row>
    <row r="311" spans="1:1" x14ac:dyDescent="0.2">
      <c r="A311" s="265" t="s">
        <v>745</v>
      </c>
    </row>
    <row r="321" spans="1:7" x14ac:dyDescent="0.2">
      <c r="A321" s="218" t="s">
        <v>570</v>
      </c>
      <c r="G321" s="194" t="s">
        <v>650</v>
      </c>
    </row>
    <row r="322" spans="1:7" x14ac:dyDescent="0.2">
      <c r="A322" s="198" t="s">
        <v>176</v>
      </c>
      <c r="G322" s="194" t="s">
        <v>651</v>
      </c>
    </row>
    <row r="323" spans="1:7" x14ac:dyDescent="0.2">
      <c r="A323" s="198" t="s">
        <v>177</v>
      </c>
    </row>
    <row r="324" spans="1:7" x14ac:dyDescent="0.2">
      <c r="A324" s="198" t="s">
        <v>178</v>
      </c>
      <c r="G324" s="194" t="s">
        <v>652</v>
      </c>
    </row>
    <row r="325" spans="1:7" x14ac:dyDescent="0.2">
      <c r="A325" s="198" t="s">
        <v>179</v>
      </c>
      <c r="G325" s="194" t="s">
        <v>653</v>
      </c>
    </row>
    <row r="326" spans="1:7" x14ac:dyDescent="0.2">
      <c r="A326" s="198" t="s">
        <v>180</v>
      </c>
      <c r="G326" s="194" t="s">
        <v>654</v>
      </c>
    </row>
    <row r="327" spans="1:7" x14ac:dyDescent="0.2">
      <c r="A327" s="198" t="s">
        <v>181</v>
      </c>
    </row>
    <row r="328" spans="1:7" x14ac:dyDescent="0.2">
      <c r="A328" s="198" t="s">
        <v>182</v>
      </c>
    </row>
    <row r="329" spans="1:7" x14ac:dyDescent="0.2">
      <c r="A329" s="198" t="s">
        <v>183</v>
      </c>
    </row>
    <row r="330" spans="1:7" x14ac:dyDescent="0.2">
      <c r="A330" s="198" t="s">
        <v>184</v>
      </c>
    </row>
    <row r="331" spans="1:7" x14ac:dyDescent="0.2">
      <c r="A331" s="198" t="s">
        <v>185</v>
      </c>
    </row>
    <row r="332" spans="1:7" x14ac:dyDescent="0.2">
      <c r="A332" s="198" t="s">
        <v>186</v>
      </c>
    </row>
    <row r="333" spans="1:7" x14ac:dyDescent="0.2">
      <c r="A333" s="198" t="s">
        <v>187</v>
      </c>
    </row>
    <row r="334" spans="1:7" x14ac:dyDescent="0.2">
      <c r="A334" s="198" t="s">
        <v>188</v>
      </c>
    </row>
    <row r="335" spans="1:7" x14ac:dyDescent="0.2">
      <c r="A335" s="198" t="s">
        <v>189</v>
      </c>
    </row>
    <row r="336" spans="1:7" x14ac:dyDescent="0.2">
      <c r="A336" s="198" t="s">
        <v>190</v>
      </c>
    </row>
    <row r="337" spans="1:1" x14ac:dyDescent="0.2">
      <c r="A337" s="198" t="s">
        <v>191</v>
      </c>
    </row>
    <row r="338" spans="1:1" x14ac:dyDescent="0.2">
      <c r="A338" s="198" t="s">
        <v>273</v>
      </c>
    </row>
    <row r="339" spans="1:1" x14ac:dyDescent="0.2">
      <c r="A339" s="198" t="s">
        <v>274</v>
      </c>
    </row>
    <row r="340" spans="1:1" x14ac:dyDescent="0.2">
      <c r="A340" s="198" t="s">
        <v>275</v>
      </c>
    </row>
    <row r="341" spans="1:1" x14ac:dyDescent="0.2">
      <c r="A341" s="198" t="s">
        <v>276</v>
      </c>
    </row>
    <row r="342" spans="1:1" x14ac:dyDescent="0.2">
      <c r="A342" s="198" t="s">
        <v>277</v>
      </c>
    </row>
    <row r="343" spans="1:1" x14ac:dyDescent="0.2">
      <c r="A343" s="198" t="s">
        <v>278</v>
      </c>
    </row>
    <row r="344" spans="1:1" x14ac:dyDescent="0.2">
      <c r="A344" s="198" t="s">
        <v>279</v>
      </c>
    </row>
    <row r="345" spans="1:1" x14ac:dyDescent="0.2">
      <c r="A345" s="198" t="s">
        <v>280</v>
      </c>
    </row>
    <row r="346" spans="1:1" x14ac:dyDescent="0.2">
      <c r="A346" s="198" t="s">
        <v>470</v>
      </c>
    </row>
    <row r="347" spans="1:1" x14ac:dyDescent="0.2">
      <c r="A347" s="198" t="s">
        <v>471</v>
      </c>
    </row>
    <row r="348" spans="1:1" x14ac:dyDescent="0.2">
      <c r="A348" s="198" t="s">
        <v>472</v>
      </c>
    </row>
    <row r="349" spans="1:1" x14ac:dyDescent="0.2">
      <c r="A349" s="198" t="s">
        <v>473</v>
      </c>
    </row>
    <row r="350" spans="1:1" x14ac:dyDescent="0.2">
      <c r="A350" s="198" t="s">
        <v>474</v>
      </c>
    </row>
    <row r="351" spans="1:1" x14ac:dyDescent="0.2">
      <c r="A351" s="198" t="s">
        <v>475</v>
      </c>
    </row>
    <row r="352" spans="1:1" x14ac:dyDescent="0.2">
      <c r="A352" s="198" t="s">
        <v>476</v>
      </c>
    </row>
    <row r="353" spans="1:1" x14ac:dyDescent="0.2">
      <c r="A353" s="198" t="s">
        <v>519</v>
      </c>
    </row>
    <row r="354" spans="1:1" x14ac:dyDescent="0.2">
      <c r="A354" s="198" t="s">
        <v>477</v>
      </c>
    </row>
    <row r="355" spans="1:1" x14ac:dyDescent="0.2">
      <c r="A355" s="198" t="s">
        <v>478</v>
      </c>
    </row>
    <row r="356" spans="1:1" x14ac:dyDescent="0.2">
      <c r="A356" s="198" t="s">
        <v>479</v>
      </c>
    </row>
    <row r="357" spans="1:1" x14ac:dyDescent="0.2">
      <c r="A357" s="198" t="s">
        <v>480</v>
      </c>
    </row>
    <row r="358" spans="1:1" x14ac:dyDescent="0.2">
      <c r="A358" s="198" t="s">
        <v>481</v>
      </c>
    </row>
    <row r="359" spans="1:1" x14ac:dyDescent="0.2">
      <c r="A359" s="198" t="s">
        <v>482</v>
      </c>
    </row>
    <row r="360" spans="1:1" x14ac:dyDescent="0.2">
      <c r="A360" s="198" t="s">
        <v>483</v>
      </c>
    </row>
    <row r="361" spans="1:1" x14ac:dyDescent="0.2">
      <c r="A361" s="198" t="s">
        <v>520</v>
      </c>
    </row>
    <row r="362" spans="1:1" x14ac:dyDescent="0.2">
      <c r="A362" s="198" t="s">
        <v>484</v>
      </c>
    </row>
    <row r="363" spans="1:1" x14ac:dyDescent="0.2">
      <c r="A363" s="198" t="s">
        <v>485</v>
      </c>
    </row>
    <row r="364" spans="1:1" x14ac:dyDescent="0.2">
      <c r="A364" s="198" t="s">
        <v>486</v>
      </c>
    </row>
    <row r="365" spans="1:1" x14ac:dyDescent="0.2">
      <c r="A365" s="198" t="s">
        <v>487</v>
      </c>
    </row>
    <row r="366" spans="1:1" x14ac:dyDescent="0.2">
      <c r="A366" s="198" t="s">
        <v>488</v>
      </c>
    </row>
    <row r="367" spans="1:1" x14ac:dyDescent="0.2">
      <c r="A367" s="198" t="s">
        <v>489</v>
      </c>
    </row>
    <row r="368" spans="1:1" x14ac:dyDescent="0.2">
      <c r="A368" s="198" t="s">
        <v>490</v>
      </c>
    </row>
    <row r="369" spans="1:1" x14ac:dyDescent="0.2">
      <c r="A369" s="198" t="s">
        <v>521</v>
      </c>
    </row>
    <row r="370" spans="1:1" x14ac:dyDescent="0.2">
      <c r="A370" s="198" t="s">
        <v>491</v>
      </c>
    </row>
    <row r="371" spans="1:1" x14ac:dyDescent="0.2">
      <c r="A371" s="198" t="s">
        <v>492</v>
      </c>
    </row>
    <row r="372" spans="1:1" x14ac:dyDescent="0.2">
      <c r="A372" s="198" t="s">
        <v>493</v>
      </c>
    </row>
    <row r="373" spans="1:1" x14ac:dyDescent="0.2">
      <c r="A373" s="198" t="s">
        <v>494</v>
      </c>
    </row>
    <row r="374" spans="1:1" x14ac:dyDescent="0.2">
      <c r="A374" s="198" t="s">
        <v>495</v>
      </c>
    </row>
    <row r="375" spans="1:1" x14ac:dyDescent="0.2">
      <c r="A375" s="198" t="s">
        <v>496</v>
      </c>
    </row>
    <row r="376" spans="1:1" x14ac:dyDescent="0.2">
      <c r="A376" s="198" t="s">
        <v>497</v>
      </c>
    </row>
    <row r="377" spans="1:1" x14ac:dyDescent="0.2">
      <c r="A377" s="198" t="s">
        <v>522</v>
      </c>
    </row>
    <row r="378" spans="1:1" x14ac:dyDescent="0.2">
      <c r="A378" s="198" t="s">
        <v>498</v>
      </c>
    </row>
    <row r="379" spans="1:1" x14ac:dyDescent="0.2">
      <c r="A379" s="198" t="s">
        <v>499</v>
      </c>
    </row>
    <row r="380" spans="1:1" x14ac:dyDescent="0.2">
      <c r="A380" s="198" t="s">
        <v>500</v>
      </c>
    </row>
    <row r="381" spans="1:1" x14ac:dyDescent="0.2">
      <c r="A381" s="198" t="s">
        <v>501</v>
      </c>
    </row>
    <row r="382" spans="1:1" x14ac:dyDescent="0.2">
      <c r="A382" s="198" t="s">
        <v>502</v>
      </c>
    </row>
    <row r="383" spans="1:1" x14ac:dyDescent="0.2">
      <c r="A383" s="198" t="s">
        <v>503</v>
      </c>
    </row>
    <row r="384" spans="1:1" x14ac:dyDescent="0.2">
      <c r="A384" s="198" t="s">
        <v>504</v>
      </c>
    </row>
    <row r="385" spans="1:1" x14ac:dyDescent="0.2">
      <c r="A385" s="198" t="s">
        <v>523</v>
      </c>
    </row>
    <row r="386" spans="1:1" x14ac:dyDescent="0.2">
      <c r="A386" s="198" t="s">
        <v>505</v>
      </c>
    </row>
    <row r="387" spans="1:1" x14ac:dyDescent="0.2">
      <c r="A387" s="198" t="s">
        <v>506</v>
      </c>
    </row>
    <row r="388" spans="1:1" x14ac:dyDescent="0.2">
      <c r="A388" s="198" t="s">
        <v>507</v>
      </c>
    </row>
    <row r="389" spans="1:1" x14ac:dyDescent="0.2">
      <c r="A389" s="198" t="s">
        <v>508</v>
      </c>
    </row>
    <row r="390" spans="1:1" x14ac:dyDescent="0.2">
      <c r="A390" s="198" t="s">
        <v>509</v>
      </c>
    </row>
    <row r="391" spans="1:1" x14ac:dyDescent="0.2">
      <c r="A391" s="198" t="s">
        <v>510</v>
      </c>
    </row>
    <row r="392" spans="1:1" x14ac:dyDescent="0.2">
      <c r="A392" s="198" t="s">
        <v>511</v>
      </c>
    </row>
    <row r="393" spans="1:1" x14ac:dyDescent="0.2">
      <c r="A393" s="198" t="s">
        <v>524</v>
      </c>
    </row>
    <row r="394" spans="1:1" x14ac:dyDescent="0.2">
      <c r="A394" s="198" t="s">
        <v>512</v>
      </c>
    </row>
    <row r="395" spans="1:1" x14ac:dyDescent="0.2">
      <c r="A395" s="198" t="s">
        <v>513</v>
      </c>
    </row>
    <row r="396" spans="1:1" x14ac:dyDescent="0.2">
      <c r="A396" s="198" t="s">
        <v>514</v>
      </c>
    </row>
    <row r="397" spans="1:1" x14ac:dyDescent="0.2">
      <c r="A397" s="198" t="s">
        <v>515</v>
      </c>
    </row>
    <row r="398" spans="1:1" x14ac:dyDescent="0.2">
      <c r="A398" s="198" t="s">
        <v>516</v>
      </c>
    </row>
    <row r="399" spans="1:1" x14ac:dyDescent="0.2">
      <c r="A399" s="198" t="s">
        <v>517</v>
      </c>
    </row>
    <row r="400" spans="1:1" x14ac:dyDescent="0.2">
      <c r="A400" s="198" t="s">
        <v>518</v>
      </c>
    </row>
    <row r="401" spans="1:1" x14ac:dyDescent="0.2">
      <c r="A401" s="198" t="s">
        <v>525</v>
      </c>
    </row>
    <row r="411" spans="1:1" x14ac:dyDescent="0.2">
      <c r="A411" s="19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24</vt:i4>
      </vt:variant>
    </vt:vector>
  </HeadingPairs>
  <TitlesOfParts>
    <vt:vector size="31" baseType="lpstr">
      <vt:lpstr>Lista IO</vt:lpstr>
      <vt:lpstr>Sheet1</vt:lpstr>
      <vt:lpstr>Lista IO Preh</vt:lpstr>
      <vt:lpstr>Resumo</vt:lpstr>
      <vt:lpstr>Descrição</vt:lpstr>
      <vt:lpstr>Lista de material</vt:lpstr>
      <vt:lpstr>Notas</vt:lpstr>
      <vt:lpstr>'Lista de material'!Área_de_Impressão_Lista_Material</vt:lpstr>
      <vt:lpstr>'Lista IO'!Área_de_Impressão_ListaIO</vt:lpstr>
      <vt:lpstr>Autor</vt:lpstr>
      <vt:lpstr>Barras_Sensores</vt:lpstr>
      <vt:lpstr>BK_BC</vt:lpstr>
      <vt:lpstr>Caixa_NOK</vt:lpstr>
      <vt:lpstr>Consola_PC</vt:lpstr>
      <vt:lpstr>Dispensador_Etiquetas</vt:lpstr>
      <vt:lpstr>Doc_Lingua</vt:lpstr>
      <vt:lpstr>Eixo_Electrico</vt:lpstr>
      <vt:lpstr>Gaveta_Estrutura</vt:lpstr>
      <vt:lpstr>Gaveta_Porta</vt:lpstr>
      <vt:lpstr>Magnetico</vt:lpstr>
      <vt:lpstr>'Lista IO'!Print_Area</vt:lpstr>
      <vt:lpstr>QE</vt:lpstr>
      <vt:lpstr>RFID</vt:lpstr>
      <vt:lpstr>Scanner_EB</vt:lpstr>
      <vt:lpstr>Scanner_Estrutura</vt:lpstr>
      <vt:lpstr>Scanner_Gaveta</vt:lpstr>
      <vt:lpstr>Scanner_Outros</vt:lpstr>
      <vt:lpstr>Sensores</vt:lpstr>
      <vt:lpstr>Status</vt:lpstr>
      <vt:lpstr>Tabela_Sensores</vt:lpstr>
      <vt:lpstr>Valves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Filipe Ramos Silva</cp:lastModifiedBy>
  <cp:lastPrinted>2020-02-04T15:43:53Z</cp:lastPrinted>
  <dcterms:created xsi:type="dcterms:W3CDTF">1996-10-08T23:32:33Z</dcterms:created>
  <dcterms:modified xsi:type="dcterms:W3CDTF">2021-02-19T13:07:49Z</dcterms:modified>
</cp:coreProperties>
</file>